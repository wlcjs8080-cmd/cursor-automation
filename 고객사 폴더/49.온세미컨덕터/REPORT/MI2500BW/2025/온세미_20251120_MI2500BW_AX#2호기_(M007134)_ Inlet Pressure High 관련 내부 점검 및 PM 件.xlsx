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MI2500BW\2025\"/>
    </mc:Choice>
  </mc:AlternateContent>
  <xr:revisionPtr revIDLastSave="0" documentId="13_ncr:1_{A4047633-040A-4992-87A3-3039D7CF248F}" xr6:coauthVersionLast="47" xr6:coauthVersionMax="47" xr10:uidLastSave="{00000000-0000-0000-0000-000000000000}"/>
  <bookViews>
    <workbookView xWindow="-120" yWindow="-120" windowWidth="29040" windowHeight="15720" tabRatio="748" xr2:uid="{00000000-000D-0000-FFFF-FFFF00000000}"/>
  </bookViews>
  <sheets>
    <sheet name="PM REPORT (새양식)" sheetId="25" r:id="rId1"/>
    <sheet name="Sheet1" sheetId="27" r:id="rId2"/>
    <sheet name="Part List" sheetId="15" state="hidden" r:id="rId3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V12" i="25" l="1"/>
  <c r="AA9" i="25" l="1"/>
</calcChain>
</file>

<file path=xl/sharedStrings.xml><?xml version="1.0" encoding="utf-8"?>
<sst xmlns="http://schemas.openxmlformats.org/spreadsheetml/2006/main" count="228" uniqueCount="136">
  <si>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</si>
  <si>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</si>
  <si>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</si>
  <si>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</si>
  <si>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</si>
  <si>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</si>
  <si>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</si>
  <si>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</si>
  <si>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</si>
  <si>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</si>
  <si>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</si>
  <si>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</si>
  <si>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</si>
  <si>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</si>
  <si>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</si>
  <si>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</si>
  <si>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</si>
  <si>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</si>
  <si>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</si>
  <si>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</si>
  <si>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</si>
  <si>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</si>
  <si>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</si>
  <si>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</si>
  <si>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</si>
  <si>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</si>
  <si>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</si>
  <si>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</si>
  <si>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</si>
  <si>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</si>
  <si>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</si>
  <si>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</si>
  <si>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</si>
  <si>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</si>
  <si>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</si>
  <si>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</si>
  <si>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</si>
  <si>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</si>
  <si>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</si>
  <si>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</si>
  <si>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</si>
  <si>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</si>
  <si>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</si>
  <si>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</si>
  <si>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</si>
  <si>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</si>
  <si>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</si>
  <si>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</si>
  <si>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</si>
  <si>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</si>
  <si>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</si>
  <si>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</si>
  <si>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</si>
  <si>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</si>
  <si>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</si>
  <si>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</si>
  <si>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</si>
  <si>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</si>
  <si>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</si>
  <si>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</si>
  <si>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</si>
  <si>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</si>
  <si>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</si>
  <si>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</si>
  <si>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</si>
  <si>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</si>
  <si>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</si>
  <si>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</si>
  <si>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</si>
  <si>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</si>
  <si>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</si>
  <si>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</si>
  <si>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</si>
  <si>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</si>
  <si>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</si>
  <si>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</si>
  <si>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</si>
  <si>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</si>
  <si>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</si>
  <si>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</si>
  <si>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</si>
  <si>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</si>
  <si>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</si>
  <si>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MI2500BW</t>
    <phoneticPr fontId="1" type="noConversion"/>
  </si>
  <si>
    <r>
      <t xml:space="preserve">B/A.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</si>
  <si>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Burnning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</si>
  <si>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08:44~10:09</t>
    <phoneticPr fontId="1" type="noConversion"/>
  </si>
  <si>
    <t>Inlet Pressure
Hunting</t>
    <phoneticPr fontId="1" type="noConversion"/>
  </si>
  <si>
    <t>Exhaust Pressure
Hunting</t>
    <phoneticPr fontId="1" type="noConversion"/>
  </si>
  <si>
    <t>-68 ~ -74</t>
    <phoneticPr fontId="1" type="noConversion"/>
  </si>
  <si>
    <t>-88 ~ -93</t>
    <phoneticPr fontId="1" type="noConversion"/>
  </si>
  <si>
    <t>45.23 ~ 45.52</t>
    <phoneticPr fontId="1" type="noConversion"/>
  </si>
  <si>
    <t>Exhaust
Temp</t>
    <phoneticPr fontId="1" type="noConversion"/>
  </si>
  <si>
    <t>Wet
Temp</t>
    <phoneticPr fontId="1" type="noConversion"/>
  </si>
  <si>
    <t>Blower
Inverter Hz</t>
    <phoneticPr fontId="1" type="noConversion"/>
  </si>
  <si>
    <t>Blower Out
산배기 표면온도</t>
    <phoneticPr fontId="1" type="noConversion"/>
  </si>
  <si>
    <t>O</t>
    <phoneticPr fontId="1" type="noConversion"/>
  </si>
  <si>
    <t>X</t>
    <phoneticPr fontId="1" type="noConversion"/>
  </si>
  <si>
    <t>45.74 ~ 46.11</t>
    <phoneticPr fontId="1" type="noConversion"/>
  </si>
  <si>
    <t>Main Tool
Run</t>
    <phoneticPr fontId="1" type="noConversion"/>
  </si>
  <si>
    <t>호기</t>
    <phoneticPr fontId="1" type="noConversion"/>
  </si>
  <si>
    <t>AX#02</t>
    <phoneticPr fontId="1" type="noConversion"/>
  </si>
  <si>
    <t>09:45 ~ 11:00</t>
    <phoneticPr fontId="1" type="noConversion"/>
  </si>
  <si>
    <t>49.17 ~ 49.29</t>
    <phoneticPr fontId="1" type="noConversion"/>
  </si>
  <si>
    <t>-72 ~ -74</t>
    <phoneticPr fontId="1" type="noConversion"/>
  </si>
  <si>
    <t>49.14 ~ 49.27</t>
    <phoneticPr fontId="1" type="noConversion"/>
  </si>
  <si>
    <t>AX#03</t>
    <phoneticPr fontId="1" type="noConversion"/>
  </si>
  <si>
    <t>M007134</t>
    <phoneticPr fontId="1" type="noConversion"/>
  </si>
  <si>
    <r>
      <t xml:space="preserve">Exh.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</si>
  <si>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t>903-001-214</t>
    <phoneticPr fontId="1" type="noConversion"/>
  </si>
  <si>
    <t>유상</t>
    <phoneticPr fontId="1" type="noConversion"/>
  </si>
  <si>
    <t>유상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</si>
  <si>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</si>
  <si>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</si>
  <si>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t>O-RING(2500)</t>
    <phoneticPr fontId="1" type="noConversion"/>
  </si>
  <si>
    <t>(외경 828x828)XØ8</t>
    <phoneticPr fontId="1" type="noConversion"/>
  </si>
  <si>
    <t>양윤철</t>
    <phoneticPr fontId="1" type="noConversion"/>
  </si>
  <si>
    <t>박천수 부장님</t>
    <phoneticPr fontId="1" type="noConversion"/>
  </si>
  <si>
    <t>정동교, 양윤철</t>
    <phoneticPr fontId="1" type="noConversion"/>
  </si>
  <si>
    <t>H2, SiH4, TCS</t>
    <phoneticPr fontId="1" type="noConversion"/>
  </si>
  <si>
    <t>Inlet Pressure High Alarm 발생
Wet Level Low Alarm 발생</t>
    <phoneticPr fontId="1" type="noConversion"/>
  </si>
  <si>
    <t>Chamber 내부 Powder 적체 및 Absorber 고착 추정</t>
    <phoneticPr fontId="1" type="noConversion"/>
  </si>
  <si>
    <t>AX#02 내부 점검 및 PM 件</t>
    <phoneticPr fontId="1" type="noConversion"/>
  </si>
  <si>
    <t>O-RING(M2500)</t>
    <phoneticPr fontId="1" type="noConversion"/>
  </si>
  <si>
    <t>Ø8X3034.4L</t>
    <phoneticPr fontId="1" type="noConversion"/>
  </si>
  <si>
    <t>903-001-217</t>
    <phoneticPr fontId="1" type="noConversion"/>
  </si>
  <si>
    <t>CENTER-RING</t>
    <phoneticPr fontId="1" type="noConversion"/>
  </si>
  <si>
    <t>NW50-오링 포함</t>
    <phoneticPr fontId="1" type="noConversion"/>
  </si>
  <si>
    <t>903-010-000</t>
    <phoneticPr fontId="1" type="noConversion"/>
  </si>
  <si>
    <t>폴링-Absorber</t>
    <phoneticPr fontId="1" type="noConversion"/>
  </si>
  <si>
    <t>1＂-폴링(STS)</t>
    <phoneticPr fontId="1" type="noConversion"/>
  </si>
  <si>
    <t>905-009-001-01</t>
    <phoneticPr fontId="1" type="noConversion"/>
  </si>
  <si>
    <t>5KG</t>
    <phoneticPr fontId="1" type="noConversion"/>
  </si>
  <si>
    <t>정동교</t>
    <phoneticPr fontId="1" type="noConversion"/>
  </si>
  <si>
    <t>최순영</t>
    <phoneticPr fontId="1" type="noConversion"/>
  </si>
  <si>
    <r>
      <rPr>
        <sz val="16"/>
        <color theme="1"/>
        <rFont val="맑은 고딕"/>
        <family val="3"/>
        <charset val="129"/>
        <scheme val="minor"/>
      </rPr>
      <t xml:space="preserve">    </t>
    </r>
    <r>
      <rPr>
        <b/>
        <sz val="16"/>
        <color theme="1"/>
        <rFont val="맑은 고딕"/>
        <family val="3"/>
        <charset val="129"/>
        <scheme val="minor"/>
      </rPr>
      <t>&lt;  AX#02 내부 점검 및 PM 件 &gt;</t>
    </r>
    <r>
      <rPr>
        <sz val="14"/>
        <color theme="1"/>
        <rFont val="맑은 고딕"/>
        <family val="3"/>
        <charset val="129"/>
        <scheme val="minor"/>
      </rPr>
      <t xml:space="preserve">
   - Inlet pressure High, Wet Level Low Alarm 발생으로 고객사 긴급 대응 요청
   - Data Log 확인결과 Scrubber 내부 막힘 추정되어 Chamber Open 진행
</t>
    </r>
    <r>
      <rPr>
        <b/>
        <sz val="14"/>
        <color theme="1"/>
        <rFont val="맑은 고딕"/>
        <family val="3"/>
        <charset val="129"/>
        <scheme val="minor"/>
      </rPr>
      <t xml:space="preserve">     BurnChamber</t>
    </r>
    <r>
      <rPr>
        <sz val="14"/>
        <color theme="1"/>
        <rFont val="맑은 고딕"/>
        <family val="3"/>
        <charset val="129"/>
        <scheme val="minor"/>
      </rPr>
      <t xml:space="preserve">
   - Burnchamber 내부 Powder 적체 확인 및 Cleaning 진행
   - Inlet Pipe 내부 Powder 적체 확인 및 Cleaning 진행
   - BurnChamber 2열 좌 Heater Housing 변형 확인
   - NW50 C/O-Ring 7EA 교체진행
</t>
    </r>
    <r>
      <rPr>
        <b/>
        <sz val="14"/>
        <color theme="1"/>
        <rFont val="맑은 고딕"/>
        <family val="3"/>
        <charset val="129"/>
        <scheme val="minor"/>
      </rPr>
      <t xml:space="preserve">    WetChamber</t>
    </r>
    <r>
      <rPr>
        <sz val="14"/>
        <color theme="1"/>
        <rFont val="맑은 고딕"/>
        <family val="3"/>
        <charset val="129"/>
        <scheme val="minor"/>
      </rPr>
      <t xml:space="preserve">
  - WetChamber 내부 Power 적체 확인
  - WetChamber 내부 Absorber 변색 확인
  - 828 * 828 Square O-Ring 2EA 교체
  - 3034 Square O-Ring 1EA 교체
  - Middle Flange 부식 및 Coating 탄화 확인
  - Middle Flange Cleaning 진행
  - Absorber kit 상태 양호
  - Wet Chamber Filter 상단 Powder 적체 및 부식 확인 및 Cleaning 진행
</t>
    </r>
    <r>
      <rPr>
        <b/>
        <sz val="14"/>
        <color theme="1"/>
        <rFont val="맑은 고딕"/>
        <family val="3"/>
        <charset val="129"/>
        <scheme val="minor"/>
      </rPr>
      <t xml:space="preserve">    Exhaust</t>
    </r>
    <r>
      <rPr>
        <sz val="14"/>
        <color theme="1"/>
        <rFont val="맑은 고딕"/>
        <family val="3"/>
        <charset val="129"/>
        <scheme val="minor"/>
      </rPr>
      <t xml:space="preserve">
   - Exhaust Middle Pipe cleaning 진행
   - Exhaust Wet Nozzle cleaning 진행
   - Absorber 5kg 교체
   - PM종료 후 Burnning Air 유입 Test 진행시 차압 발생 감소 확인 및 승온 진행
   - Test 中 Supply Water Pressure Sensor Fail 발생하여 NF#1-1 설비의 Circulation Pressure Sensor와 Swap
</t>
    </r>
    <r>
      <rPr>
        <b/>
        <sz val="14"/>
        <color theme="1"/>
        <rFont val="맑은 고딕"/>
        <family val="3"/>
        <charset val="129"/>
        <scheme val="minor"/>
      </rPr>
      <t xml:space="preserve">    순간정전</t>
    </r>
    <r>
      <rPr>
        <sz val="14"/>
        <color theme="1"/>
        <rFont val="맑은 고딕"/>
        <family val="3"/>
        <charset val="129"/>
        <scheme val="minor"/>
      </rPr>
      <t xml:space="preserve">
   - 순간정전 발생으로 인해 Heater T/C Fail 발생 추정
   - Heater T/C #1 과 #2 Swap 진행
   - AX#03 Blower OFF 되어 Blower On 진행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</si>
</sst>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2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2" fillId="3" borderId="11" xfId="0" quotePrefix="1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12" fillId="3" borderId="10" xfId="0" quotePrefix="1" applyFont="1" applyFill="1" applyBorder="1" applyAlignment="1">
      <alignment horizontal="center" vertical="center"/>
    </xf>
    <xf numFmtId="0" fontId="12" fillId="3" borderId="12" xfId="0" quotePrefix="1" applyFont="1" applyFill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958127" y="5715000"/>
          <a:ext cx="290425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9079" y="17652380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45988" y="17654511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28028" y="17648681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19925" y="17650812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806979" y="17649995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98875" y="17652126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84615" y="17649995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76511" y="17652126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62251" y="17643802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54148" y="17652126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339888" y="17647635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8033287" y="17651124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95112" y="17649995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211780" y="17652126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82774" y="17649995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94430" y="17652126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65424" y="17649995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567053" y="17652126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2033034" y="17649995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744689" y="17652126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215684" y="17649995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927339" y="17652126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92006" y="17648681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103662" y="17650812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6693" y="18743425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48348" y="18745556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14329" y="18743425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25984" y="18745556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91966" y="18743425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503621" y="18745556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69602" y="18743425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81257" y="18745556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49865" y="18741040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61521" y="18743171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327502" y="18741040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8039157" y="18743171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505138" y="18741040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216793" y="18743171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81460" y="18739726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93117" y="18741857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859097" y="18739726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70753" y="18741857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752475</xdr:colOff>
      <xdr:row>22</xdr:row>
      <xdr:rowOff>47625</xdr:rowOff>
    </xdr:from>
    <xdr:to>
      <xdr:col>15</xdr:col>
      <xdr:colOff>114300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9</xdr:col>
      <xdr:colOff>561975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819150</xdr:colOff>
      <xdr:row>8</xdr:row>
      <xdr:rowOff>47625</xdr:rowOff>
    </xdr:from>
    <xdr:to>
      <xdr:col>18</xdr:col>
      <xdr:colOff>352425</xdr:colOff>
      <xdr:row>15</xdr:row>
      <xdr:rowOff>209550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FA0D82D3-6EC6-0C86-E7BD-71A1A1023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1724025"/>
          <a:ext cx="7905750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4" zoomScale="55" zoomScaleNormal="55" zoomScaleSheetLayoutView="100" workbookViewId="0">
      <selection activeCell="W15" sqref="W15:AA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2" t="s">
        <v>116</v>
      </c>
      <c r="T4" s="93"/>
      <c r="U4" s="93"/>
      <c r="V4" s="92" t="s">
        <v>133</v>
      </c>
      <c r="W4" s="93"/>
      <c r="X4" s="98"/>
      <c r="Y4" s="63" t="s">
        <v>134</v>
      </c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4"/>
      <c r="T5" s="95"/>
      <c r="U5" s="95"/>
      <c r="V5" s="94"/>
      <c r="W5" s="95"/>
      <c r="X5" s="99"/>
      <c r="Y5" s="63"/>
      <c r="Z5" s="63"/>
      <c r="AA5" s="63"/>
    </row>
    <row r="6" spans="2:39" ht="15" customHeight="1" x14ac:dyDescent="0.3">
      <c r="B6" s="101" t="s">
        <v>26</v>
      </c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96"/>
      <c r="T6" s="97"/>
      <c r="U6" s="97"/>
      <c r="V6" s="96"/>
      <c r="W6" s="97"/>
      <c r="X6" s="100"/>
      <c r="Y6" s="63"/>
      <c r="Z6" s="63"/>
      <c r="AA6" s="63"/>
    </row>
    <row r="7" spans="2:39" ht="3" customHeight="1" x14ac:dyDescent="0.3"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2" t="s">
        <v>8</v>
      </c>
      <c r="T8" s="103"/>
      <c r="U8" s="103"/>
      <c r="V8" s="64">
        <v>45980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2" t="s">
        <v>80</v>
      </c>
      <c r="T9" s="103"/>
      <c r="U9" s="103"/>
      <c r="V9" s="33">
        <v>0.41666666666666669</v>
      </c>
      <c r="W9" s="34"/>
      <c r="X9" s="17" t="s">
        <v>79</v>
      </c>
      <c r="Y9" s="35">
        <v>0.66666666666666663</v>
      </c>
      <c r="Z9" s="36"/>
      <c r="AA9" s="20">
        <f>Y9-V9</f>
        <v>0.24999999999999994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82</v>
      </c>
      <c r="F10" s="56"/>
      <c r="G10" s="56"/>
      <c r="H10" s="56"/>
      <c r="I10" s="56"/>
      <c r="J10" s="56"/>
      <c r="K10" s="31" t="s">
        <v>28</v>
      </c>
      <c r="L10" s="31"/>
      <c r="M10" s="31"/>
      <c r="N10" s="43" t="s">
        <v>83</v>
      </c>
      <c r="O10" s="44"/>
      <c r="P10" s="44"/>
      <c r="Q10" s="44"/>
      <c r="R10" s="45"/>
      <c r="S10" s="31" t="s">
        <v>30</v>
      </c>
      <c r="T10" s="31"/>
      <c r="U10" s="31"/>
      <c r="V10" s="64">
        <v>45071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117</v>
      </c>
      <c r="F11" s="56"/>
      <c r="G11" s="56"/>
      <c r="H11" s="56"/>
      <c r="I11" s="56"/>
      <c r="J11" s="56"/>
      <c r="K11" s="31" t="s">
        <v>33</v>
      </c>
      <c r="L11" s="31"/>
      <c r="M11" s="31"/>
      <c r="N11" s="43" t="s">
        <v>107</v>
      </c>
      <c r="O11" s="44"/>
      <c r="P11" s="44"/>
      <c r="Q11" s="44"/>
      <c r="R11" s="45"/>
      <c r="S11" s="31" t="s">
        <v>31</v>
      </c>
      <c r="T11" s="31"/>
      <c r="U11" s="31"/>
      <c r="V11" s="64">
        <v>45696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118</v>
      </c>
      <c r="F12" s="56"/>
      <c r="G12" s="56"/>
      <c r="H12" s="56"/>
      <c r="I12" s="56"/>
      <c r="J12" s="56"/>
      <c r="K12" s="31" t="s">
        <v>34</v>
      </c>
      <c r="L12" s="31"/>
      <c r="M12" s="31"/>
      <c r="N12" s="43" t="s">
        <v>119</v>
      </c>
      <c r="O12" s="44"/>
      <c r="P12" s="44"/>
      <c r="Q12" s="44"/>
      <c r="R12" s="45"/>
      <c r="S12" s="31" t="s">
        <v>32</v>
      </c>
      <c r="T12" s="31"/>
      <c r="U12" s="31"/>
      <c r="V12" s="65">
        <f>V8-V11</f>
        <v>284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81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122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43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120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44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121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135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27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16" t="s">
        <v>14</v>
      </c>
      <c r="C42" s="59"/>
      <c r="D42" s="106" t="s">
        <v>112</v>
      </c>
      <c r="E42" s="107"/>
      <c r="F42" s="106" t="s">
        <v>113</v>
      </c>
      <c r="G42" s="107"/>
      <c r="H42" s="106" t="s">
        <v>49</v>
      </c>
      <c r="I42" s="107"/>
      <c r="J42" s="106" t="s">
        <v>50</v>
      </c>
      <c r="K42" s="107"/>
      <c r="L42" s="106" t="s">
        <v>51</v>
      </c>
      <c r="M42" s="107"/>
      <c r="N42" s="106" t="s">
        <v>52</v>
      </c>
      <c r="O42" s="110"/>
      <c r="P42" s="106" t="s">
        <v>53</v>
      </c>
      <c r="Q42" s="110"/>
      <c r="R42" s="106" t="s">
        <v>108</v>
      </c>
      <c r="S42" s="110"/>
      <c r="T42" s="106" t="s">
        <v>54</v>
      </c>
      <c r="U42" s="110"/>
      <c r="V42" s="106" t="s">
        <v>55</v>
      </c>
      <c r="W42" s="110"/>
      <c r="X42" s="106" t="s">
        <v>84</v>
      </c>
      <c r="Y42" s="110"/>
      <c r="Z42" s="106" t="s">
        <v>56</v>
      </c>
      <c r="AA42" s="110"/>
    </row>
    <row r="43" spans="2:27" ht="24.95" customHeight="1" x14ac:dyDescent="0.3">
      <c r="B43" s="117"/>
      <c r="C43" s="88"/>
      <c r="D43" s="7" t="s">
        <v>15</v>
      </c>
      <c r="E43" s="7" t="s">
        <v>16</v>
      </c>
      <c r="F43" s="7" t="s">
        <v>15</v>
      </c>
      <c r="G43" s="7" t="s">
        <v>16</v>
      </c>
      <c r="H43" s="7" t="s">
        <v>15</v>
      </c>
      <c r="I43" s="7" t="s">
        <v>16</v>
      </c>
      <c r="J43" s="7" t="s">
        <v>15</v>
      </c>
      <c r="K43" s="7" t="s">
        <v>16</v>
      </c>
      <c r="L43" s="7" t="s">
        <v>15</v>
      </c>
      <c r="M43" s="7" t="s">
        <v>16</v>
      </c>
      <c r="N43" s="7" t="s">
        <v>15</v>
      </c>
      <c r="O43" s="7" t="s">
        <v>16</v>
      </c>
      <c r="P43" s="7" t="s">
        <v>15</v>
      </c>
      <c r="Q43" s="7" t="s">
        <v>16</v>
      </c>
      <c r="R43" s="7" t="s">
        <v>15</v>
      </c>
      <c r="S43" s="7" t="s">
        <v>16</v>
      </c>
      <c r="T43" s="7" t="s">
        <v>15</v>
      </c>
      <c r="U43" s="7" t="s">
        <v>16</v>
      </c>
      <c r="V43" s="7" t="s">
        <v>15</v>
      </c>
      <c r="W43" s="7" t="s">
        <v>16</v>
      </c>
      <c r="X43" s="7" t="s">
        <v>15</v>
      </c>
      <c r="Y43" s="7" t="s">
        <v>16</v>
      </c>
      <c r="Z43" s="7" t="s">
        <v>15</v>
      </c>
      <c r="AA43" s="7" t="s">
        <v>16</v>
      </c>
    </row>
    <row r="44" spans="2:27" ht="24.95" customHeight="1" x14ac:dyDescent="0.3">
      <c r="B44" s="89"/>
      <c r="C44" s="62"/>
      <c r="D44" s="16"/>
      <c r="E44" s="16">
        <v>-110</v>
      </c>
      <c r="F44" s="16"/>
      <c r="G44" s="16">
        <v>-100</v>
      </c>
      <c r="H44" s="16"/>
      <c r="I44" s="16"/>
      <c r="J44" s="16"/>
      <c r="K44" s="16"/>
      <c r="L44" s="16"/>
      <c r="M44" s="16"/>
      <c r="N44" s="16"/>
      <c r="O44" s="16">
        <v>-19</v>
      </c>
      <c r="P44" s="16"/>
      <c r="Q44" s="16">
        <v>30</v>
      </c>
      <c r="R44" s="16"/>
      <c r="S44" s="16"/>
      <c r="T44" s="16"/>
      <c r="U44" s="16">
        <v>31</v>
      </c>
      <c r="V44" s="16"/>
      <c r="W44" s="16">
        <v>31</v>
      </c>
      <c r="X44" s="16"/>
      <c r="Y44" s="16">
        <v>45</v>
      </c>
      <c r="Z44" s="16"/>
      <c r="AA44" s="16"/>
    </row>
    <row r="45" spans="2:27" ht="36.950000000000003" customHeight="1" x14ac:dyDescent="0.3">
      <c r="B45" s="86" t="s">
        <v>17</v>
      </c>
      <c r="C45" s="59"/>
      <c r="D45" s="106" t="s">
        <v>37</v>
      </c>
      <c r="E45" s="107"/>
      <c r="F45" s="106" t="s">
        <v>38</v>
      </c>
      <c r="G45" s="107"/>
      <c r="H45" s="106" t="s">
        <v>39</v>
      </c>
      <c r="I45" s="107"/>
      <c r="J45" s="106" t="s">
        <v>40</v>
      </c>
      <c r="K45" s="107"/>
      <c r="L45" s="106" t="s">
        <v>41</v>
      </c>
      <c r="M45" s="110"/>
      <c r="N45" s="106" t="s">
        <v>42</v>
      </c>
      <c r="O45" s="110"/>
      <c r="P45" s="106" t="s">
        <v>46</v>
      </c>
      <c r="Q45" s="110"/>
      <c r="R45" s="106" t="s">
        <v>29</v>
      </c>
      <c r="S45" s="110"/>
      <c r="T45" s="106" t="s">
        <v>35</v>
      </c>
      <c r="U45" s="110"/>
      <c r="V45" s="106" t="s">
        <v>47</v>
      </c>
      <c r="W45" s="110"/>
      <c r="X45" s="90" t="s">
        <v>48</v>
      </c>
      <c r="Y45" s="91"/>
      <c r="Z45" s="91"/>
      <c r="AA45" s="91"/>
    </row>
    <row r="46" spans="2:27" ht="24.95" customHeight="1" x14ac:dyDescent="0.3">
      <c r="B46" s="87"/>
      <c r="C46" s="88"/>
      <c r="D46" s="7" t="s">
        <v>15</v>
      </c>
      <c r="E46" s="7" t="s">
        <v>16</v>
      </c>
      <c r="F46" s="7" t="s">
        <v>15</v>
      </c>
      <c r="G46" s="7" t="s">
        <v>16</v>
      </c>
      <c r="H46" s="7" t="s">
        <v>15</v>
      </c>
      <c r="I46" s="7" t="s">
        <v>16</v>
      </c>
      <c r="J46" s="7" t="s">
        <v>15</v>
      </c>
      <c r="K46" s="7" t="s">
        <v>16</v>
      </c>
      <c r="L46" s="7" t="s">
        <v>15</v>
      </c>
      <c r="M46" s="7" t="s">
        <v>16</v>
      </c>
      <c r="N46" s="7" t="s">
        <v>15</v>
      </c>
      <c r="O46" s="7" t="s">
        <v>16</v>
      </c>
      <c r="P46" s="7" t="s">
        <v>15</v>
      </c>
      <c r="Q46" s="7" t="s">
        <v>16</v>
      </c>
      <c r="R46" s="7" t="s">
        <v>15</v>
      </c>
      <c r="S46" s="7" t="s">
        <v>16</v>
      </c>
      <c r="T46" s="7" t="s">
        <v>15</v>
      </c>
      <c r="U46" s="7" t="s">
        <v>16</v>
      </c>
      <c r="V46" s="7" t="s">
        <v>15</v>
      </c>
      <c r="W46" s="7" t="s">
        <v>16</v>
      </c>
      <c r="X46" s="7" t="s">
        <v>15</v>
      </c>
      <c r="Y46" s="7" t="s">
        <v>16</v>
      </c>
      <c r="Z46" s="7" t="s">
        <v>15</v>
      </c>
      <c r="AA46" s="7" t="s">
        <v>16</v>
      </c>
    </row>
    <row r="47" spans="2:27" ht="24.95" customHeight="1" x14ac:dyDescent="0.3">
      <c r="B47" s="89"/>
      <c r="C47" s="62"/>
      <c r="D47" s="16"/>
      <c r="E47" s="16">
        <v>750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>
        <v>24</v>
      </c>
      <c r="V47" s="16"/>
      <c r="W47" s="16">
        <v>25</v>
      </c>
      <c r="X47" s="16"/>
      <c r="Y47" s="16">
        <v>25</v>
      </c>
      <c r="Z47" s="16"/>
      <c r="AA47" s="16"/>
    </row>
    <row r="48" spans="2:27" ht="36.75" customHeight="1" x14ac:dyDescent="0.3">
      <c r="B48" s="86" t="s">
        <v>45</v>
      </c>
      <c r="C48" s="59"/>
      <c r="D48" s="90" t="s">
        <v>63</v>
      </c>
      <c r="E48" s="91"/>
      <c r="F48" s="90" t="s">
        <v>64</v>
      </c>
      <c r="G48" s="91"/>
      <c r="H48" s="90" t="s">
        <v>65</v>
      </c>
      <c r="I48" s="91"/>
      <c r="J48" s="90" t="s">
        <v>66</v>
      </c>
      <c r="K48" s="91"/>
      <c r="L48" s="90" t="s">
        <v>85</v>
      </c>
      <c r="M48" s="91"/>
      <c r="N48" s="90" t="s">
        <v>67</v>
      </c>
      <c r="O48" s="91"/>
      <c r="P48" s="106" t="s">
        <v>68</v>
      </c>
      <c r="Q48" s="107"/>
      <c r="R48" s="104" t="s">
        <v>57</v>
      </c>
      <c r="S48" s="105"/>
      <c r="T48" s="113" t="s">
        <v>58</v>
      </c>
      <c r="U48" s="114"/>
      <c r="V48" s="113" t="s">
        <v>59</v>
      </c>
      <c r="W48" s="114"/>
      <c r="X48" s="113" t="s">
        <v>60</v>
      </c>
      <c r="Y48" s="114"/>
      <c r="Z48" s="106" t="s">
        <v>69</v>
      </c>
      <c r="AA48" s="107"/>
    </row>
    <row r="49" spans="2:27" ht="24.95" customHeight="1" x14ac:dyDescent="0.3">
      <c r="B49" s="87"/>
      <c r="C49" s="88"/>
      <c r="D49" s="7" t="s">
        <v>15</v>
      </c>
      <c r="E49" s="7" t="s">
        <v>16</v>
      </c>
      <c r="F49" s="7" t="s">
        <v>15</v>
      </c>
      <c r="G49" s="7" t="s">
        <v>16</v>
      </c>
      <c r="H49" s="7" t="s">
        <v>15</v>
      </c>
      <c r="I49" s="7" t="s">
        <v>16</v>
      </c>
      <c r="J49" s="7" t="s">
        <v>15</v>
      </c>
      <c r="K49" s="7" t="s">
        <v>16</v>
      </c>
      <c r="L49" s="7" t="s">
        <v>15</v>
      </c>
      <c r="M49" s="7" t="s">
        <v>16</v>
      </c>
      <c r="N49" s="7" t="s">
        <v>15</v>
      </c>
      <c r="O49" s="7" t="s">
        <v>16</v>
      </c>
      <c r="P49" s="7" t="s">
        <v>15</v>
      </c>
      <c r="Q49" s="7" t="s">
        <v>16</v>
      </c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2:27" ht="24.95" customHeight="1" x14ac:dyDescent="0.3">
      <c r="B50" s="87"/>
      <c r="C50" s="88"/>
      <c r="D50" s="16"/>
      <c r="E50" s="16"/>
      <c r="F50" s="16"/>
      <c r="G50" s="16"/>
      <c r="H50" s="16"/>
      <c r="I50" s="16">
        <v>400</v>
      </c>
      <c r="J50" s="16"/>
      <c r="K50" s="16">
        <v>400</v>
      </c>
      <c r="L50" s="16"/>
      <c r="M50" s="16">
        <v>400</v>
      </c>
      <c r="N50" s="16"/>
      <c r="O50" s="16"/>
      <c r="P50" s="16"/>
      <c r="Q50" s="16"/>
      <c r="R50" s="16"/>
      <c r="S50" s="16">
        <v>280</v>
      </c>
      <c r="T50" s="16"/>
      <c r="U50" s="16">
        <v>280</v>
      </c>
      <c r="V50" s="16"/>
      <c r="W50" s="16"/>
      <c r="X50" s="16"/>
      <c r="Y50" s="16"/>
      <c r="Z50" s="16"/>
      <c r="AA50" s="16"/>
    </row>
    <row r="51" spans="2:27" ht="36.75" customHeight="1" x14ac:dyDescent="0.3">
      <c r="B51" s="87"/>
      <c r="C51" s="88"/>
      <c r="D51" s="90" t="s">
        <v>70</v>
      </c>
      <c r="E51" s="91"/>
      <c r="F51" s="90" t="s">
        <v>71</v>
      </c>
      <c r="G51" s="91"/>
      <c r="H51" s="90" t="s">
        <v>72</v>
      </c>
      <c r="I51" s="91"/>
      <c r="J51" s="90" t="s">
        <v>73</v>
      </c>
      <c r="K51" s="91"/>
      <c r="L51" s="104" t="s">
        <v>61</v>
      </c>
      <c r="M51" s="105"/>
      <c r="N51" s="90" t="s">
        <v>74</v>
      </c>
      <c r="O51" s="91"/>
      <c r="P51" s="104" t="s">
        <v>62</v>
      </c>
      <c r="Q51" s="105"/>
      <c r="R51" s="90" t="s">
        <v>75</v>
      </c>
      <c r="S51" s="91"/>
      <c r="T51" s="108" t="s">
        <v>78</v>
      </c>
      <c r="U51" s="109"/>
      <c r="V51" s="106" t="s">
        <v>76</v>
      </c>
      <c r="W51" s="110"/>
      <c r="X51" s="106" t="s">
        <v>77</v>
      </c>
      <c r="Y51" s="110"/>
      <c r="Z51" s="111"/>
      <c r="AA51" s="112"/>
    </row>
    <row r="52" spans="2:27" ht="24.95" customHeight="1" x14ac:dyDescent="0.3">
      <c r="B52" s="87"/>
      <c r="C52" s="88"/>
      <c r="D52" s="7" t="s">
        <v>15</v>
      </c>
      <c r="E52" s="7" t="s">
        <v>16</v>
      </c>
      <c r="F52" s="7" t="s">
        <v>15</v>
      </c>
      <c r="G52" s="7" t="s">
        <v>16</v>
      </c>
      <c r="H52" s="7" t="s">
        <v>15</v>
      </c>
      <c r="I52" s="7" t="s">
        <v>16</v>
      </c>
      <c r="J52" s="7" t="s">
        <v>15</v>
      </c>
      <c r="K52" s="7" t="s">
        <v>16</v>
      </c>
      <c r="L52" s="7" t="s">
        <v>15</v>
      </c>
      <c r="M52" s="7" t="s">
        <v>16</v>
      </c>
      <c r="N52" s="7" t="s">
        <v>15</v>
      </c>
      <c r="O52" s="7" t="s">
        <v>16</v>
      </c>
      <c r="P52" s="7" t="s">
        <v>15</v>
      </c>
      <c r="Q52" s="7" t="s">
        <v>16</v>
      </c>
      <c r="R52" s="7" t="s">
        <v>15</v>
      </c>
      <c r="S52" s="7" t="s">
        <v>16</v>
      </c>
      <c r="T52" s="7" t="s">
        <v>15</v>
      </c>
      <c r="U52" s="7" t="s">
        <v>16</v>
      </c>
      <c r="V52" s="7" t="s">
        <v>15</v>
      </c>
      <c r="W52" s="7" t="s">
        <v>16</v>
      </c>
      <c r="X52" s="7" t="s">
        <v>15</v>
      </c>
      <c r="Y52" s="7" t="s">
        <v>16</v>
      </c>
      <c r="Z52" s="7"/>
      <c r="AA52" s="7"/>
    </row>
    <row r="53" spans="2:27" ht="24.95" customHeight="1" x14ac:dyDescent="0.3">
      <c r="B53" s="89"/>
      <c r="C53" s="62"/>
      <c r="D53" s="16"/>
      <c r="E53" s="16">
        <v>20</v>
      </c>
      <c r="F53" s="16"/>
      <c r="G53" s="16">
        <v>20</v>
      </c>
      <c r="H53" s="16"/>
      <c r="I53" s="16">
        <v>20</v>
      </c>
      <c r="J53" s="16"/>
      <c r="K53" s="16">
        <v>20</v>
      </c>
      <c r="L53" s="16"/>
      <c r="M53" s="16">
        <v>33</v>
      </c>
      <c r="N53" s="16"/>
      <c r="O53" s="16">
        <v>61</v>
      </c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18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19</v>
      </c>
      <c r="C56" s="31"/>
      <c r="D56" s="31"/>
      <c r="E56" s="31"/>
      <c r="F56" s="31" t="s">
        <v>2</v>
      </c>
      <c r="G56" s="31"/>
      <c r="H56" s="31"/>
      <c r="I56" s="31" t="s">
        <v>36</v>
      </c>
      <c r="J56" s="31"/>
      <c r="K56" s="31"/>
      <c r="L56" s="12" t="s">
        <v>20</v>
      </c>
      <c r="M56" s="11" t="s">
        <v>21</v>
      </c>
      <c r="N56" s="18" t="s">
        <v>22</v>
      </c>
      <c r="O56" s="31" t="s">
        <v>19</v>
      </c>
      <c r="P56" s="31"/>
      <c r="Q56" s="31"/>
      <c r="R56" s="31"/>
      <c r="S56" s="31" t="s">
        <v>2</v>
      </c>
      <c r="T56" s="31"/>
      <c r="U56" s="31"/>
      <c r="V56" s="31" t="s">
        <v>36</v>
      </c>
      <c r="W56" s="31"/>
      <c r="X56" s="31"/>
      <c r="Y56" s="12" t="s">
        <v>3</v>
      </c>
      <c r="Z56" s="8" t="s">
        <v>21</v>
      </c>
      <c r="AA56" s="19" t="s">
        <v>22</v>
      </c>
    </row>
    <row r="57" spans="2:27" ht="24.95" customHeight="1" x14ac:dyDescent="0.3">
      <c r="B57" s="80" t="s">
        <v>123</v>
      </c>
      <c r="C57" s="81"/>
      <c r="D57" s="81"/>
      <c r="E57" s="82"/>
      <c r="F57" s="119" t="s">
        <v>115</v>
      </c>
      <c r="G57" s="120"/>
      <c r="H57" s="121"/>
      <c r="I57" s="115" t="s">
        <v>109</v>
      </c>
      <c r="J57" s="84"/>
      <c r="K57" s="85"/>
      <c r="L57" s="26">
        <v>2</v>
      </c>
      <c r="M57" s="10" t="s">
        <v>110</v>
      </c>
      <c r="N57" s="9"/>
      <c r="O57" s="80"/>
      <c r="P57" s="81"/>
      <c r="Q57" s="81"/>
      <c r="R57" s="82"/>
      <c r="S57" s="80"/>
      <c r="T57" s="81"/>
      <c r="U57" s="82"/>
      <c r="V57" s="83"/>
      <c r="W57" s="84"/>
      <c r="X57" s="85"/>
      <c r="Y57" s="15"/>
      <c r="Z57" s="13"/>
      <c r="AA57" s="13"/>
    </row>
    <row r="58" spans="2:27" ht="24.95" customHeight="1" x14ac:dyDescent="0.3">
      <c r="B58" s="80" t="s">
        <v>114</v>
      </c>
      <c r="C58" s="81"/>
      <c r="D58" s="81"/>
      <c r="E58" s="82"/>
      <c r="F58" s="80" t="s">
        <v>124</v>
      </c>
      <c r="G58" s="81"/>
      <c r="H58" s="82"/>
      <c r="I58" s="115" t="s">
        <v>125</v>
      </c>
      <c r="J58" s="84"/>
      <c r="K58" s="85"/>
      <c r="L58" s="13">
        <v>1</v>
      </c>
      <c r="M58" s="10" t="s">
        <v>110</v>
      </c>
      <c r="N58" s="9"/>
      <c r="O58" s="80"/>
      <c r="P58" s="81"/>
      <c r="Q58" s="81"/>
      <c r="R58" s="82"/>
      <c r="S58" s="80"/>
      <c r="T58" s="81"/>
      <c r="U58" s="82"/>
      <c r="V58" s="83"/>
      <c r="W58" s="84"/>
      <c r="X58" s="85"/>
      <c r="Y58" s="15"/>
      <c r="Z58" s="13"/>
      <c r="AA58" s="13"/>
    </row>
    <row r="59" spans="2:27" ht="24.95" customHeight="1" x14ac:dyDescent="0.3">
      <c r="B59" s="80" t="s">
        <v>126</v>
      </c>
      <c r="C59" s="81"/>
      <c r="D59" s="81"/>
      <c r="E59" s="82"/>
      <c r="F59" s="80" t="s">
        <v>127</v>
      </c>
      <c r="G59" s="81"/>
      <c r="H59" s="82"/>
      <c r="I59" s="115" t="s">
        <v>128</v>
      </c>
      <c r="J59" s="123"/>
      <c r="K59" s="124"/>
      <c r="L59" s="13">
        <v>7</v>
      </c>
      <c r="M59" s="10" t="s">
        <v>110</v>
      </c>
      <c r="N59" s="9"/>
      <c r="O59" s="80"/>
      <c r="P59" s="81"/>
      <c r="Q59" s="81"/>
      <c r="R59" s="82"/>
      <c r="S59" s="80"/>
      <c r="T59" s="81"/>
      <c r="U59" s="82"/>
      <c r="V59" s="83"/>
      <c r="W59" s="84"/>
      <c r="X59" s="85"/>
      <c r="Y59" s="15"/>
      <c r="Z59" s="13"/>
      <c r="AA59" s="13"/>
    </row>
    <row r="60" spans="2:27" ht="24.95" customHeight="1" x14ac:dyDescent="0.3">
      <c r="B60" s="80" t="s">
        <v>129</v>
      </c>
      <c r="C60" s="81"/>
      <c r="D60" s="81"/>
      <c r="E60" s="82"/>
      <c r="F60" s="80" t="s">
        <v>130</v>
      </c>
      <c r="G60" s="81"/>
      <c r="H60" s="82"/>
      <c r="I60" s="115" t="s">
        <v>131</v>
      </c>
      <c r="J60" s="84"/>
      <c r="K60" s="85"/>
      <c r="L60" s="13" t="s">
        <v>132</v>
      </c>
      <c r="M60" s="10" t="s">
        <v>110</v>
      </c>
      <c r="N60" s="9"/>
      <c r="O60" s="80"/>
      <c r="P60" s="81"/>
      <c r="Q60" s="81"/>
      <c r="R60" s="82"/>
      <c r="S60" s="80"/>
      <c r="T60" s="81"/>
      <c r="U60" s="82"/>
      <c r="V60" s="83"/>
      <c r="W60" s="84"/>
      <c r="X60" s="85"/>
      <c r="Y60" s="15"/>
      <c r="Z60" s="13"/>
      <c r="AA60" s="13"/>
    </row>
    <row r="61" spans="2:27" ht="24.95" customHeight="1" x14ac:dyDescent="0.3">
      <c r="B61" s="80"/>
      <c r="C61" s="81"/>
      <c r="D61" s="81"/>
      <c r="E61" s="82"/>
      <c r="F61" s="80"/>
      <c r="G61" s="81"/>
      <c r="H61" s="82"/>
      <c r="I61" s="115"/>
      <c r="J61" s="84"/>
      <c r="K61" s="85"/>
      <c r="L61" s="13"/>
      <c r="M61" s="122"/>
      <c r="N61" s="9"/>
      <c r="O61" s="80"/>
      <c r="P61" s="81"/>
      <c r="Q61" s="81"/>
      <c r="R61" s="82"/>
      <c r="S61" s="80"/>
      <c r="T61" s="81"/>
      <c r="U61" s="82"/>
      <c r="V61" s="83"/>
      <c r="W61" s="84"/>
      <c r="X61" s="85"/>
      <c r="Y61" s="14"/>
      <c r="Z61" s="13"/>
      <c r="AA61" s="13"/>
    </row>
    <row r="62" spans="2:27" ht="24.95" customHeight="1" x14ac:dyDescent="0.3">
      <c r="B62" s="27"/>
      <c r="C62" s="28"/>
      <c r="D62" s="28"/>
      <c r="E62" s="29"/>
      <c r="F62" s="80"/>
      <c r="G62" s="81"/>
      <c r="H62" s="82"/>
      <c r="I62" s="83"/>
      <c r="J62" s="84"/>
      <c r="K62" s="85"/>
      <c r="L62" s="13"/>
      <c r="M62" s="10"/>
      <c r="N62" s="9"/>
      <c r="O62" s="57" t="s">
        <v>23</v>
      </c>
      <c r="P62" s="58"/>
      <c r="Q62" s="58"/>
      <c r="R62" s="58"/>
      <c r="S62" s="58"/>
      <c r="T62" s="58"/>
      <c r="U62" s="58"/>
      <c r="V62" s="59"/>
      <c r="W62" s="31" t="s">
        <v>24</v>
      </c>
      <c r="X62" s="31"/>
      <c r="Y62" s="31"/>
      <c r="Z62" s="31" t="s">
        <v>25</v>
      </c>
      <c r="AA62" s="31"/>
    </row>
    <row r="63" spans="2:27" ht="24.95" customHeight="1" x14ac:dyDescent="0.3">
      <c r="B63" s="79"/>
      <c r="C63" s="79"/>
      <c r="D63" s="79"/>
      <c r="E63" s="79"/>
      <c r="F63" s="80"/>
      <c r="G63" s="81"/>
      <c r="H63" s="82"/>
      <c r="I63" s="83"/>
      <c r="J63" s="84"/>
      <c r="K63" s="85"/>
      <c r="L63" s="13"/>
      <c r="M63" s="15"/>
      <c r="N63" s="9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111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B57:E57"/>
    <mergeCell ref="B61:E61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54:AA54"/>
    <mergeCell ref="F51:G51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L48:M48"/>
    <mergeCell ref="B45:C47"/>
    <mergeCell ref="R48:S48"/>
    <mergeCell ref="B42:C44"/>
    <mergeCell ref="F45:G45"/>
    <mergeCell ref="H45:I45"/>
    <mergeCell ref="J45:K45"/>
    <mergeCell ref="D45:E45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H51:I51"/>
    <mergeCell ref="J51:K51"/>
    <mergeCell ref="L51:M51"/>
    <mergeCell ref="R51:S51"/>
    <mergeCell ref="T51:U51"/>
    <mergeCell ref="V51:W51"/>
    <mergeCell ref="X51:Y51"/>
    <mergeCell ref="Z51:AA51"/>
    <mergeCell ref="B41:AA41"/>
    <mergeCell ref="L45:M45"/>
    <mergeCell ref="D42:E42"/>
    <mergeCell ref="F42:G42"/>
    <mergeCell ref="H42:I42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B62:E62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E14:N24"/>
  <sheetViews>
    <sheetView workbookViewId="0">
      <selection activeCell="I11" sqref="I11"/>
    </sheetView>
  </sheetViews>
  <sheetFormatPr defaultRowHeight="16.5" x14ac:dyDescent="0.3"/>
  <cols>
    <col min="6" max="6" width="13.5" customWidth="1"/>
    <col min="7" max="7" width="10.375" customWidth="1"/>
    <col min="8" max="8" width="13.375" customWidth="1"/>
    <col min="9" max="9" width="13.5" customWidth="1"/>
    <col min="10" max="10" width="8.25" customWidth="1"/>
    <col min="11" max="11" width="7.625" customWidth="1"/>
    <col min="12" max="12" width="12.75" customWidth="1"/>
    <col min="13" max="13" width="15.25" customWidth="1"/>
    <col min="14" max="14" width="16.5" customWidth="1"/>
  </cols>
  <sheetData>
    <row r="14" spans="5:14" ht="31.5" customHeight="1" x14ac:dyDescent="0.3">
      <c r="E14" s="22" t="s">
        <v>100</v>
      </c>
      <c r="F14" s="22" t="s">
        <v>9</v>
      </c>
      <c r="G14" s="23" t="s">
        <v>99</v>
      </c>
      <c r="H14" s="23" t="s">
        <v>87</v>
      </c>
      <c r="I14" s="23" t="s">
        <v>88</v>
      </c>
      <c r="J14" s="23" t="s">
        <v>92</v>
      </c>
      <c r="K14" s="23" t="s">
        <v>93</v>
      </c>
      <c r="L14" s="23" t="s">
        <v>94</v>
      </c>
      <c r="M14" s="23" t="s">
        <v>95</v>
      </c>
    </row>
    <row r="15" spans="5:14" ht="31.5" customHeight="1" x14ac:dyDescent="0.3">
      <c r="E15" s="118" t="s">
        <v>101</v>
      </c>
      <c r="F15" s="22" t="s">
        <v>86</v>
      </c>
      <c r="G15" s="22" t="s">
        <v>96</v>
      </c>
      <c r="H15" s="25" t="s">
        <v>89</v>
      </c>
      <c r="I15" s="25" t="s">
        <v>90</v>
      </c>
      <c r="J15" s="22">
        <v>40</v>
      </c>
      <c r="K15" s="22">
        <v>28</v>
      </c>
      <c r="L15" s="22" t="s">
        <v>91</v>
      </c>
      <c r="M15" s="22">
        <v>30.2</v>
      </c>
      <c r="N15" s="21"/>
    </row>
    <row r="16" spans="5:14" ht="31.5" customHeight="1" x14ac:dyDescent="0.3">
      <c r="E16" s="118"/>
      <c r="F16" s="24">
        <v>0.4375</v>
      </c>
      <c r="G16" s="24" t="s">
        <v>97</v>
      </c>
      <c r="H16" s="23">
        <v>-77</v>
      </c>
      <c r="I16" s="22">
        <v>-90</v>
      </c>
      <c r="J16" s="22">
        <v>29</v>
      </c>
      <c r="K16" s="22">
        <v>26</v>
      </c>
      <c r="L16" s="22" t="s">
        <v>98</v>
      </c>
      <c r="M16" s="22">
        <v>27.6</v>
      </c>
      <c r="N16" s="21"/>
    </row>
    <row r="17" spans="5:14" ht="31.5" customHeight="1" x14ac:dyDescent="0.3">
      <c r="E17" s="118" t="s">
        <v>106</v>
      </c>
      <c r="F17" s="22" t="s">
        <v>102</v>
      </c>
      <c r="G17" s="22" t="s">
        <v>96</v>
      </c>
      <c r="H17" s="25" t="s">
        <v>104</v>
      </c>
      <c r="I17" s="22">
        <v>-90</v>
      </c>
      <c r="J17" s="22">
        <v>26</v>
      </c>
      <c r="K17" s="22">
        <v>24</v>
      </c>
      <c r="L17" s="22" t="s">
        <v>103</v>
      </c>
      <c r="M17" s="22">
        <v>26</v>
      </c>
      <c r="N17" s="21"/>
    </row>
    <row r="18" spans="5:14" ht="31.5" customHeight="1" x14ac:dyDescent="0.3">
      <c r="E18" s="118"/>
      <c r="F18" s="24">
        <v>0.47569444444444442</v>
      </c>
      <c r="G18" s="24" t="s">
        <v>97</v>
      </c>
      <c r="H18" s="25">
        <v>-74</v>
      </c>
      <c r="I18" s="22">
        <v>-90</v>
      </c>
      <c r="J18" s="22">
        <v>26</v>
      </c>
      <c r="K18" s="22">
        <v>25</v>
      </c>
      <c r="L18" s="22" t="s">
        <v>105</v>
      </c>
      <c r="M18" s="22">
        <v>26</v>
      </c>
    </row>
    <row r="19" spans="5:14" x14ac:dyDescent="0.3">
      <c r="F19" s="21"/>
      <c r="G19" s="21"/>
      <c r="H19" s="21"/>
      <c r="I19" s="21"/>
      <c r="J19" s="21"/>
      <c r="K19" s="21"/>
    </row>
    <row r="20" spans="5:14" x14ac:dyDescent="0.3">
      <c r="F20" s="21"/>
      <c r="G20" s="21"/>
      <c r="H20" s="21"/>
      <c r="I20" s="21"/>
      <c r="J20" s="21"/>
      <c r="K20" s="21"/>
    </row>
    <row r="21" spans="5:14" x14ac:dyDescent="0.3">
      <c r="F21" s="21"/>
      <c r="G21" s="21"/>
      <c r="H21" s="21"/>
      <c r="I21" s="21"/>
      <c r="J21" s="21"/>
      <c r="K21" s="21"/>
    </row>
    <row r="22" spans="5:14" x14ac:dyDescent="0.3">
      <c r="F22" s="21"/>
      <c r="G22" s="21"/>
      <c r="H22" s="21"/>
      <c r="I22" s="21"/>
      <c r="J22" s="21"/>
      <c r="K22" s="21"/>
      <c r="L22" s="21"/>
    </row>
    <row r="23" spans="5:14" x14ac:dyDescent="0.3">
      <c r="F23" s="21"/>
      <c r="G23" s="21"/>
      <c r="H23" s="21"/>
      <c r="I23" s="21"/>
      <c r="J23" s="21"/>
      <c r="K23" s="21"/>
      <c r="L23" s="21"/>
    </row>
    <row r="24" spans="5:14" x14ac:dyDescent="0.3">
      <c r="F24" s="21"/>
      <c r="G24" s="21"/>
      <c r="H24" s="21"/>
      <c r="I24" s="21"/>
      <c r="J24" s="21"/>
      <c r="K24" s="21"/>
      <c r="L24" s="21"/>
    </row>
  </sheetData>
  <mergeCells count="2">
    <mergeCell ref="E15:E16"/>
    <mergeCell ref="E17:E18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PM REPORT (새양식)</vt:lpstr>
      <vt:lpstr>Sheet1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2025-11-20T09:28:48Z</cp:lastPrinted>
  <dcterms:created xsi:type="dcterms:W3CDTF">2014-12-23T07:36:01Z</dcterms:created>
  <dcterms:modified xsi:type="dcterms:W3CDTF">2025-11-20T09:56:27Z</dcterms:modified>
</cp:coreProperties>
</file>