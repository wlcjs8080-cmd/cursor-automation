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5\"/>
    </mc:Choice>
  </mc:AlternateContent>
  <bookViews>
    <workbookView xWindow="0" yWindow="0" windowWidth="29010" windowHeight="12495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<sst xmlns="http://schemas.openxmlformats.org/spreadsheetml/2006/main" count="213" uniqueCount="120">
  <si>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</si>
  <si>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</si>
  <si>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</si>
  <si>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</si>
  <si>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</si>
  <si>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</si>
  <si>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</si>
  <si>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</si>
  <si>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</si>
  <si>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</si>
  <si>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</si>
  <si>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</si>
  <si>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</si>
  <si>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</si>
  <si>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</si>
  <si>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</si>
  <si>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</si>
  <si>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</si>
  <si>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</si>
  <si>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</si>
  <si>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</si>
  <si>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</si>
  <si>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</si>
  <si>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</si>
  <si>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</si>
  <si>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</si>
  <si>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</si>
  <si>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</si>
  <si>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</si>
  <si>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</si>
  <si>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</si>
  <si>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</si>
  <si>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</si>
  <si>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</si>
  <si>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</si>
  <si>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</si>
  <si>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</si>
  <si>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</si>
  <si>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</si>
  <si>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</si>
  <si>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</si>
  <si>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</si>
  <si>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</si>
  <si>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</si>
  <si>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</si>
  <si>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</si>
  <si>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</si>
  <si>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</si>
  <si>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</si>
  <si>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</si>
  <si>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</si>
  <si>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</si>
  <si>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</si>
  <si>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</si>
  <si>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</si>
  <si>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</si>
  <si>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</si>
  <si>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</si>
  <si>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</si>
  <si>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</si>
  <si>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</si>
  <si>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</si>
  <si>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</si>
  <si>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</si>
  <si>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</si>
  <si>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</si>
  <si>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</si>
  <si>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</si>
  <si>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</si>
  <si>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</si>
  <si>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</si>
  <si>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</si>
  <si>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</si>
  <si>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</si>
  <si>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</si>
  <si>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</si>
  <si>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</si>
  <si>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</si>
  <si>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</si>
  <si>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</si>
  <si>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</si>
  <si>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</si>
  <si>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</si>
  <si>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</si>
  <si>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</si>
  <si>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</si>
  <si>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</si>
  <si>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</si>
  <si>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</si>
  <si>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</si>
  <si>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</si>
  <si>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</si>
  <si>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</si>
  <si>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</si>
  <si>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</si>
  <si>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</si>
  <si>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</si>
  <si>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</si>
  <si>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</si>
  <si>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</si>
  <si>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</si>
  <si>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</si>
  <si>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</si>
  <si>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</si>
  <si>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</si>
  <si>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</si>
  <si>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</si>
  <si>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M007139</t>
    <phoneticPr fontId="1" type="noConversion"/>
  </si>
  <si>
    <t>3. 원인</t>
    <phoneticPr fontId="1" type="noConversion"/>
  </si>
  <si>
    <t>1. 작업명</t>
    <phoneticPr fontId="1" type="noConversion"/>
  </si>
  <si>
    <t xml:space="preserve"> </t>
    <phoneticPr fontId="1" type="noConversion"/>
  </si>
  <si>
    <t>윤상우 주임님</t>
    <phoneticPr fontId="1" type="noConversion"/>
  </si>
  <si>
    <t>정동교, 양윤철</t>
    <phoneticPr fontId="1" type="noConversion"/>
  </si>
  <si>
    <t xml:space="preserve"> INLET PRESSURE HIGH WARNING 관련 설비점검 진행</t>
    <phoneticPr fontId="1" type="noConversion"/>
  </si>
  <si>
    <t>EXHAUST CIR' WATER 유량 증가로 인한 EXHAUST 수막 발생으로 INLET PRESSURE WARNING 발생 추정</t>
    <phoneticPr fontId="1" type="noConversion"/>
  </si>
  <si>
    <t>무상</t>
    <phoneticPr fontId="1" type="noConversion"/>
  </si>
  <si>
    <t>MI2500BW 설비 비정기 PM 직후 INLET PRESSURE HIGH WARNING 발생</t>
    <phoneticPr fontId="1" type="noConversion"/>
  </si>
  <si>
    <t>정동교</t>
    <phoneticPr fontId="1" type="noConversion"/>
  </si>
  <si>
    <t>H2, TCS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</si>
  <si>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>&lt;설비내부 점검(CHAMBER 전체 개방)&gt;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- </t>
    </r>
    <r>
      <rPr>
        <b/>
        <sz val="14"/>
        <color theme="1"/>
        <rFont val="맑은 고딕"/>
        <family val="3"/>
        <charset val="129"/>
        <scheme val="minor"/>
      </rPr>
      <t>BURN CHAMBER</t>
    </r>
    <r>
      <rPr>
        <sz val="14"/>
        <color theme="1"/>
        <rFont val="맑은 고딕"/>
        <family val="3"/>
        <charset val="129"/>
        <scheme val="minor"/>
      </rPr>
      <t xml:space="preserve">
   내부 POWDER 적체상태 </t>
    </r>
    <r>
      <rPr>
        <sz val="14"/>
        <color theme="1"/>
        <rFont val="맑은 고딕"/>
        <family val="3"/>
        <charset val="129"/>
      </rPr>
      <t xml:space="preserve">→ </t>
    </r>
    <r>
      <rPr>
        <sz val="14"/>
        <color theme="1"/>
        <rFont val="맑은 고딕"/>
        <family val="3"/>
        <charset val="129"/>
        <scheme val="minor"/>
      </rPr>
      <t xml:space="preserve">양호
</t>
    </r>
    <r>
      <rPr>
        <b/>
        <sz val="14"/>
        <color theme="1"/>
        <rFont val="맑은 고딕"/>
        <family val="3"/>
        <charset val="129"/>
        <scheme val="minor"/>
      </rPr>
      <t xml:space="preserve"> - WET CHAMBER</t>
    </r>
    <r>
      <rPr>
        <sz val="14"/>
        <color theme="1"/>
        <rFont val="맑은 고딕"/>
        <family val="3"/>
        <charset val="129"/>
        <scheme val="minor"/>
      </rPr>
      <t xml:space="preserve">
   내부 POWDER 적체상태, ABSORBER KIT 상태, ABSORBER 상태  → 양호
 - </t>
    </r>
    <r>
      <rPr>
        <b/>
        <sz val="14"/>
        <color theme="1"/>
        <rFont val="맑은 고딕"/>
        <family val="3"/>
        <charset val="129"/>
        <scheme val="minor"/>
      </rPr>
      <t>EXHAUST</t>
    </r>
    <r>
      <rPr>
        <sz val="14"/>
        <color theme="1"/>
        <rFont val="맑은 고딕"/>
        <family val="3"/>
        <charset val="129"/>
        <scheme val="minor"/>
      </rPr>
      <t xml:space="preserve">
   내부 POWDER 적체상태, 타공판 상태, ABSORBER 상태 → 양호
</t>
    </r>
    <r>
      <rPr>
        <b/>
        <sz val="14"/>
        <color theme="1"/>
        <rFont val="맑은 고딕"/>
        <family val="3"/>
        <charset val="129"/>
        <scheme val="minor"/>
      </rPr>
      <t xml:space="preserve"> - 내부 점검결과 </t>
    </r>
    <r>
      <rPr>
        <sz val="14"/>
        <color theme="1"/>
        <rFont val="맑은 고딕"/>
        <family val="3"/>
        <charset val="129"/>
        <scheme val="minor"/>
      </rPr>
      <t xml:space="preserve">
 - 특이사항 및 이상소견 없음
</t>
    </r>
    <r>
      <rPr>
        <b/>
        <sz val="16"/>
        <color theme="1"/>
        <rFont val="맑은 고딕"/>
        <family val="3"/>
        <charset val="129"/>
        <scheme val="minor"/>
      </rPr>
      <t xml:space="preserve">&lt;MANUAL MODE 악조건 차압 TEST 진행 (INLET &amp; EXHAUST PRESSURE 확인)&gt;
 </t>
    </r>
    <r>
      <rPr>
        <sz val="14"/>
        <color theme="1"/>
        <rFont val="맑은 고딕"/>
        <family val="3"/>
        <charset val="129"/>
        <scheme val="minor"/>
      </rPr>
      <t xml:space="preserve">- TEST간 AIR 1440 SLM + INLET PURGE N2 880 SLM  = 2320 SLM 유입량 항시 유지 조건에서 TSET 진행
 </t>
    </r>
    <r>
      <rPr>
        <sz val="14"/>
        <color theme="1"/>
        <rFont val="맑은 고딕"/>
        <family val="3"/>
        <charset val="129"/>
      </rPr>
      <t>▶</t>
    </r>
    <r>
      <rPr>
        <sz val="14"/>
        <color theme="1"/>
        <rFont val="맑은 고딕"/>
        <family val="3"/>
        <charset val="129"/>
        <scheme val="minor"/>
      </rPr>
      <t>WET CIR' WATER만 유입 : 전(IN -90, EXH -100)  후(IN -87, EXH -100) → 정상 범위
 ▶시수 SUPPLY WATER만 유입 : 전(IN -90, EXH -100)  후(IN -85, EXH -100) → 정상 범위
 ▶</t>
    </r>
    <r>
      <rPr>
        <u/>
        <sz val="14"/>
        <color theme="1"/>
        <rFont val="맑은 고딕"/>
        <family val="3"/>
        <charset val="129"/>
        <scheme val="minor"/>
      </rPr>
      <t>EXH CIR' WATER만 유입 : 전(IN -90, EXH -100)  후(</t>
    </r>
    <r>
      <rPr>
        <u/>
        <sz val="14"/>
        <color rgb="FFFF0000"/>
        <rFont val="맑은 고딕"/>
        <family val="3"/>
        <charset val="129"/>
        <scheme val="minor"/>
      </rPr>
      <t>IN -50</t>
    </r>
    <r>
      <rPr>
        <u/>
        <sz val="14"/>
        <color theme="1"/>
        <rFont val="맑은 고딕"/>
        <family val="3"/>
        <charset val="129"/>
        <scheme val="minor"/>
      </rPr>
      <t xml:space="preserve">, EXH -100) → 차압 확인
</t>
    </r>
    <r>
      <rPr>
        <sz val="14"/>
        <color theme="1"/>
        <rFont val="맑은 고딕"/>
        <family val="3"/>
        <charset val="129"/>
        <scheme val="minor"/>
      </rPr>
      <t xml:space="preserve"> - EXH CIR' WATER가 차압을 발생시키는 요인인 것을 확인
 ▶EXH CIR' WATER NOZZLE #1, #2 점검 → POWDER없음, 막힘 없음, 변형 없음, TIP 깨끗함, WATER량 잘 나옴
 ▶EXH CIR NOZZLE #1 물량을 </t>
    </r>
    <r>
      <rPr>
        <u/>
        <sz val="14"/>
        <color theme="1"/>
        <rFont val="맑은 고딕"/>
        <family val="3"/>
        <charset val="129"/>
        <scheme val="minor"/>
      </rPr>
      <t>#2로 몰아주었을 경우 차압은 더 심해짐</t>
    </r>
    <r>
      <rPr>
        <sz val="14"/>
        <color theme="1"/>
        <rFont val="맑은 고딕"/>
        <family val="3"/>
        <charset val="129"/>
        <scheme val="minor"/>
      </rPr>
      <t xml:space="preserve">  
 - EXH CIR' WATER NOZZLE #1 후단 LINE에 </t>
    </r>
    <r>
      <rPr>
        <u/>
        <sz val="14"/>
        <color theme="1"/>
        <rFont val="맑은 고딕"/>
        <family val="3"/>
        <charset val="129"/>
        <scheme val="minor"/>
      </rPr>
      <t xml:space="preserve">수동 VALVE 설치 및 제한된 개방으로 #2 유입 물량을 제한시킴 
</t>
    </r>
    <r>
      <rPr>
        <sz val="14"/>
        <color theme="1"/>
        <rFont val="맑은 고딕"/>
        <family val="3"/>
        <charset val="129"/>
        <scheme val="minor"/>
      </rPr>
      <t xml:space="preserve"> - 위의 상태로 설비 악조건 TEST결과 설비 INLET 압력 양호
   EXH CIR' WATER량 증가로 인한 INLET PRESSURE HIGH WARNING일 것으로 예상
 - EXH' CIR WATER NOZZLE #2 물량 제한으로 WET TEMP 변화가 예상되어 25/01/02 재방문하여
   가동 DATA확인 후 설비 안정성 여부 확인 예정
 </t>
    </r>
    <r>
      <rPr>
        <b/>
        <sz val="14"/>
        <color theme="1"/>
        <rFont val="맑은 고딕"/>
        <family val="3"/>
        <charset val="129"/>
      </rPr>
      <t xml:space="preserve">∴ 결론 :  
</t>
    </r>
    <r>
      <rPr>
        <sz val="14"/>
        <color theme="1"/>
        <rFont val="맑은 고딕"/>
        <family val="3"/>
        <charset val="129"/>
      </rPr>
      <t xml:space="preserve"> - EXH' CIR' WATER 유입시 발생하는 차압, </t>
    </r>
    <r>
      <rPr>
        <u/>
        <sz val="14"/>
        <color theme="1"/>
        <rFont val="맑은 고딕"/>
        <family val="3"/>
        <charset val="129"/>
      </rPr>
      <t>EXH' ABSORBER와 타공판을 모두 제거하여</t>
    </r>
    <r>
      <rPr>
        <sz val="14"/>
        <color theme="1"/>
        <rFont val="맑은 고딕"/>
        <family val="3"/>
        <charset val="129"/>
      </rPr>
      <t xml:space="preserve">
   </t>
    </r>
    <r>
      <rPr>
        <u/>
        <sz val="14"/>
        <color theme="1"/>
        <rFont val="맑은 고딕"/>
        <family val="3"/>
        <charset val="129"/>
      </rPr>
      <t>빈 공간 조성 후 EXH' CIR' WATER를 유입하였음에도 차압이 발생</t>
    </r>
    <r>
      <rPr>
        <sz val="14"/>
        <color theme="1"/>
        <rFont val="맑은 고딕"/>
        <family val="3"/>
        <charset val="129"/>
      </rPr>
      <t xml:space="preserve">, (EXH NOZZLE 양호)
   (EXH' MIDDLE NW300 SIZE → NW100 REDUCE 차압 발생구간 추정) 
 - EXH' CIR WATER량 증가로 INLET 차압 발생시 설명 가능한 매커니즘
   열교환 판형 부식 → 두께 감소 →유로 확장 → EXH CIR' WATER량 증가
 - MAIN TOOL RUN 가동시 해당설비 및 동일조건 다른 가동설비의 수온 DATA를 확인하여
   </t>
    </r>
    <r>
      <rPr>
        <u/>
        <sz val="14"/>
        <color theme="1"/>
        <rFont val="맑은 고딕"/>
        <family val="3"/>
        <charset val="129"/>
      </rPr>
      <t>해당 설비가 제한된 EXH' CIR 물량을 사용하고 있음에도 기존의 수온을 유지할 경우 열교환기 교체를 추천함</t>
    </r>
    <r>
      <rPr>
        <sz val="14"/>
        <color theme="1"/>
        <rFont val="맑은 고딕"/>
        <family val="3"/>
        <charset val="129"/>
      </rPr>
      <t xml:space="preserve"> 
   (제한된 물량으로 기존 수온 유지는 총물량이 증가한 것으로 볼 수 있으며, 총 물량 증가는 교환기 문제로 귀결)</t>
    </r>
    <r>
      <rPr>
        <b/>
        <sz val="14"/>
        <color theme="1"/>
        <rFont val="맑은 고딕"/>
        <family val="3"/>
        <charset val="129"/>
      </rPr>
      <t xml:space="preserve">
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</si>
</sst>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u/>
      <sz val="14"/>
      <color theme="1"/>
      <name val="맑은 고딕"/>
      <family val="3"/>
      <charset val="129"/>
      <scheme val="minor"/>
    </font>
    <font>
      <u/>
      <sz val="14"/>
      <color rgb="FFFF0000"/>
      <name val="맑은 고딕"/>
      <family val="3"/>
      <charset val="129"/>
      <scheme val="minor"/>
    </font>
    <font>
      <u/>
      <sz val="14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8414380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8416511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8410681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8412812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8411995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8414126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8411995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8414126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8405802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8414126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8409635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8413124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8411995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8414126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8411995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8414126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8411995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8414126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8411995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8414126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8411995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8414126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8410681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8412812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9502951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9505082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9502951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9505082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9502951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9505082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9502951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9505082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9500566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9502697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9500566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9502697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9500566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9502697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9499252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9501383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9499252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9501383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2" zoomScale="70" zoomScaleNormal="70" zoomScaleSheetLayoutView="100" workbookViewId="0">
      <selection activeCell="W34" sqref="W34:AA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3</v>
      </c>
      <c r="T2" s="56"/>
      <c r="U2" s="56"/>
      <c r="V2" s="56" t="s">
        <v>4</v>
      </c>
      <c r="W2" s="56"/>
      <c r="X2" s="56"/>
      <c r="Y2" s="56" t="s">
        <v>5</v>
      </c>
      <c r="Z2" s="56"/>
      <c r="AA2" s="56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0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117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25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7</v>
      </c>
      <c r="T8" s="102"/>
      <c r="U8" s="102"/>
      <c r="V8" s="64">
        <v>46021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81</v>
      </c>
      <c r="T9" s="102"/>
      <c r="U9" s="102"/>
      <c r="V9" s="33">
        <v>0.39583333333333331</v>
      </c>
      <c r="W9" s="34"/>
      <c r="X9" s="18" t="s">
        <v>80</v>
      </c>
      <c r="Y9" s="35">
        <v>0.6875</v>
      </c>
      <c r="Z9" s="36"/>
      <c r="AA9" s="21">
        <f>Y9-V9</f>
        <v>0.29166666666666669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9</v>
      </c>
      <c r="C10" s="31"/>
      <c r="D10" s="31"/>
      <c r="E10" s="56" t="s">
        <v>82</v>
      </c>
      <c r="F10" s="56"/>
      <c r="G10" s="56"/>
      <c r="H10" s="56"/>
      <c r="I10" s="56"/>
      <c r="J10" s="56"/>
      <c r="K10" s="31" t="s">
        <v>27</v>
      </c>
      <c r="L10" s="31"/>
      <c r="M10" s="31"/>
      <c r="N10" s="43" t="s">
        <v>83</v>
      </c>
      <c r="O10" s="44"/>
      <c r="P10" s="44"/>
      <c r="Q10" s="44"/>
      <c r="R10" s="45"/>
      <c r="S10" s="31" t="s">
        <v>29</v>
      </c>
      <c r="T10" s="31"/>
      <c r="U10" s="31"/>
      <c r="V10" s="64">
        <v>45107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10</v>
      </c>
      <c r="C11" s="31"/>
      <c r="D11" s="31"/>
      <c r="E11" s="56" t="s">
        <v>111</v>
      </c>
      <c r="F11" s="56"/>
      <c r="G11" s="56"/>
      <c r="H11" s="56"/>
      <c r="I11" s="56"/>
      <c r="J11" s="56"/>
      <c r="K11" s="31" t="s">
        <v>32</v>
      </c>
      <c r="L11" s="31"/>
      <c r="M11" s="31"/>
      <c r="N11" s="43" t="s">
        <v>107</v>
      </c>
      <c r="O11" s="44"/>
      <c r="P11" s="44"/>
      <c r="Q11" s="44"/>
      <c r="R11" s="45"/>
      <c r="S11" s="31" t="s">
        <v>30</v>
      </c>
      <c r="T11" s="31"/>
      <c r="U11" s="31"/>
      <c r="V11" s="64">
        <v>46020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11</v>
      </c>
      <c r="C12" s="31"/>
      <c r="D12" s="31"/>
      <c r="E12" s="56" t="s">
        <v>112</v>
      </c>
      <c r="F12" s="56"/>
      <c r="G12" s="56"/>
      <c r="H12" s="56"/>
      <c r="I12" s="56"/>
      <c r="J12" s="56"/>
      <c r="K12" s="31" t="s">
        <v>33</v>
      </c>
      <c r="L12" s="31"/>
      <c r="M12" s="31"/>
      <c r="N12" s="43" t="s">
        <v>118</v>
      </c>
      <c r="O12" s="44"/>
      <c r="P12" s="44"/>
      <c r="Q12" s="44"/>
      <c r="R12" s="45"/>
      <c r="S12" s="31" t="s">
        <v>31</v>
      </c>
      <c r="T12" s="31"/>
      <c r="U12" s="31"/>
      <c r="V12" s="65">
        <f>V8-V11</f>
        <v>1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109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12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113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42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116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108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114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110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119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97.5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26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8" t="s">
        <v>13</v>
      </c>
      <c r="C42" s="59"/>
      <c r="D42" s="106" t="s">
        <v>47</v>
      </c>
      <c r="E42" s="107"/>
      <c r="F42" s="106" t="s">
        <v>48</v>
      </c>
      <c r="G42" s="107"/>
      <c r="H42" s="106" t="s">
        <v>49</v>
      </c>
      <c r="I42" s="107"/>
      <c r="J42" s="106" t="s">
        <v>50</v>
      </c>
      <c r="K42" s="107"/>
      <c r="L42" s="106" t="s">
        <v>51</v>
      </c>
      <c r="M42" s="107"/>
      <c r="N42" s="106" t="s">
        <v>52</v>
      </c>
      <c r="O42" s="110"/>
      <c r="P42" s="106" t="s">
        <v>53</v>
      </c>
      <c r="Q42" s="110"/>
      <c r="R42" s="106" t="s">
        <v>54</v>
      </c>
      <c r="S42" s="110"/>
      <c r="T42" s="106" t="s">
        <v>55</v>
      </c>
      <c r="U42" s="110"/>
      <c r="V42" s="106" t="s">
        <v>56</v>
      </c>
      <c r="W42" s="110"/>
      <c r="X42" s="106" t="s">
        <v>84</v>
      </c>
      <c r="Y42" s="110"/>
      <c r="Z42" s="106" t="s">
        <v>57</v>
      </c>
      <c r="AA42" s="110"/>
    </row>
    <row r="43" spans="2:27" ht="24.95" customHeight="1" x14ac:dyDescent="0.3">
      <c r="B43" s="119"/>
      <c r="C43" s="87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8"/>
      <c r="C44" s="62"/>
      <c r="D44" s="17"/>
      <c r="E44" s="17">
        <v>-110</v>
      </c>
      <c r="F44" s="17"/>
      <c r="G44" s="17">
        <v>-90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34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5" t="s">
        <v>16</v>
      </c>
      <c r="C45" s="59"/>
      <c r="D45" s="106" t="s">
        <v>36</v>
      </c>
      <c r="E45" s="107"/>
      <c r="F45" s="106" t="s">
        <v>37</v>
      </c>
      <c r="G45" s="107"/>
      <c r="H45" s="106" t="s">
        <v>38</v>
      </c>
      <c r="I45" s="107"/>
      <c r="J45" s="106" t="s">
        <v>39</v>
      </c>
      <c r="K45" s="107"/>
      <c r="L45" s="106" t="s">
        <v>40</v>
      </c>
      <c r="M45" s="110"/>
      <c r="N45" s="106" t="s">
        <v>41</v>
      </c>
      <c r="O45" s="110"/>
      <c r="P45" s="106" t="s">
        <v>44</v>
      </c>
      <c r="Q45" s="110"/>
      <c r="R45" s="106" t="s">
        <v>28</v>
      </c>
      <c r="S45" s="110"/>
      <c r="T45" s="106" t="s">
        <v>34</v>
      </c>
      <c r="U45" s="110"/>
      <c r="V45" s="106" t="s">
        <v>45</v>
      </c>
      <c r="W45" s="110"/>
      <c r="X45" s="89" t="s">
        <v>46</v>
      </c>
      <c r="Y45" s="90"/>
      <c r="Z45" s="90"/>
      <c r="AA45" s="90"/>
    </row>
    <row r="46" spans="2:27" ht="24.95" customHeight="1" x14ac:dyDescent="0.3">
      <c r="B46" s="86"/>
      <c r="C46" s="87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8"/>
      <c r="C47" s="62"/>
      <c r="D47" s="17"/>
      <c r="E47" s="17">
        <v>550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9"/>
      <c r="U47" s="17">
        <v>29</v>
      </c>
      <c r="V47" s="17"/>
      <c r="W47" s="17"/>
      <c r="X47" s="17"/>
      <c r="Y47" s="17">
        <v>25</v>
      </c>
      <c r="Z47" s="17"/>
      <c r="AA47" s="17"/>
    </row>
    <row r="48" spans="2:27" ht="36.75" customHeight="1" x14ac:dyDescent="0.3">
      <c r="B48" s="85" t="s">
        <v>43</v>
      </c>
      <c r="C48" s="59"/>
      <c r="D48" s="89" t="s">
        <v>64</v>
      </c>
      <c r="E48" s="90"/>
      <c r="F48" s="89" t="s">
        <v>65</v>
      </c>
      <c r="G48" s="90"/>
      <c r="H48" s="89" t="s">
        <v>66</v>
      </c>
      <c r="I48" s="90"/>
      <c r="J48" s="89" t="s">
        <v>67</v>
      </c>
      <c r="K48" s="90"/>
      <c r="L48" s="89" t="s">
        <v>85</v>
      </c>
      <c r="M48" s="90"/>
      <c r="N48" s="89" t="s">
        <v>68</v>
      </c>
      <c r="O48" s="90"/>
      <c r="P48" s="106" t="s">
        <v>69</v>
      </c>
      <c r="Q48" s="107"/>
      <c r="R48" s="103" t="s">
        <v>58</v>
      </c>
      <c r="S48" s="104"/>
      <c r="T48" s="113" t="s">
        <v>59</v>
      </c>
      <c r="U48" s="114"/>
      <c r="V48" s="113" t="s">
        <v>60</v>
      </c>
      <c r="W48" s="114"/>
      <c r="X48" s="113" t="s">
        <v>61</v>
      </c>
      <c r="Y48" s="114"/>
      <c r="Z48" s="106" t="s">
        <v>70</v>
      </c>
      <c r="AA48" s="107"/>
    </row>
    <row r="49" spans="2:27" ht="24.95" customHeight="1" x14ac:dyDescent="0.3">
      <c r="B49" s="86"/>
      <c r="C49" s="87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/>
      <c r="W49" s="7"/>
      <c r="X49" s="7"/>
      <c r="Y49" s="7"/>
      <c r="Z49" s="7"/>
      <c r="AA49" s="7"/>
    </row>
    <row r="50" spans="2:27" ht="24.95" customHeight="1" x14ac:dyDescent="0.3">
      <c r="B50" s="86"/>
      <c r="C50" s="87"/>
      <c r="D50" s="17"/>
      <c r="E50" s="17"/>
      <c r="F50" s="17"/>
      <c r="G50" s="17">
        <v>50</v>
      </c>
      <c r="H50" s="17"/>
      <c r="I50" s="17">
        <v>420</v>
      </c>
      <c r="J50" s="17"/>
      <c r="K50" s="17">
        <v>440</v>
      </c>
      <c r="L50" s="17"/>
      <c r="M50" s="17">
        <v>460</v>
      </c>
      <c r="N50" s="17"/>
      <c r="O50" s="17"/>
      <c r="P50" s="17"/>
      <c r="Q50" s="17">
        <v>480</v>
      </c>
      <c r="R50" s="17"/>
      <c r="S50" s="17">
        <v>1</v>
      </c>
      <c r="T50" s="17"/>
      <c r="U50" s="17">
        <v>1</v>
      </c>
      <c r="V50" s="17"/>
      <c r="W50" s="17"/>
      <c r="X50" s="17"/>
      <c r="Y50" s="17"/>
      <c r="Z50" s="17"/>
      <c r="AA50" s="17"/>
    </row>
    <row r="51" spans="2:27" ht="36.75" customHeight="1" x14ac:dyDescent="0.3">
      <c r="B51" s="86"/>
      <c r="C51" s="87"/>
      <c r="D51" s="89" t="s">
        <v>71</v>
      </c>
      <c r="E51" s="90"/>
      <c r="F51" s="89" t="s">
        <v>72</v>
      </c>
      <c r="G51" s="90"/>
      <c r="H51" s="89" t="s">
        <v>73</v>
      </c>
      <c r="I51" s="90"/>
      <c r="J51" s="89" t="s">
        <v>74</v>
      </c>
      <c r="K51" s="90"/>
      <c r="L51" s="103" t="s">
        <v>62</v>
      </c>
      <c r="M51" s="104"/>
      <c r="N51" s="89" t="s">
        <v>75</v>
      </c>
      <c r="O51" s="90"/>
      <c r="P51" s="103" t="s">
        <v>63</v>
      </c>
      <c r="Q51" s="104"/>
      <c r="R51" s="89" t="s">
        <v>76</v>
      </c>
      <c r="S51" s="90"/>
      <c r="T51" s="108" t="s">
        <v>79</v>
      </c>
      <c r="U51" s="109"/>
      <c r="V51" s="106" t="s">
        <v>77</v>
      </c>
      <c r="W51" s="110"/>
      <c r="X51" s="106" t="s">
        <v>78</v>
      </c>
      <c r="Y51" s="110"/>
      <c r="Z51" s="111"/>
      <c r="AA51" s="112"/>
    </row>
    <row r="52" spans="2:27" ht="24.95" customHeight="1" x14ac:dyDescent="0.3">
      <c r="B52" s="86"/>
      <c r="C52" s="87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8"/>
      <c r="C53" s="62"/>
      <c r="D53" s="17"/>
      <c r="E53" s="17">
        <v>20</v>
      </c>
      <c r="F53" s="17"/>
      <c r="G53" s="17">
        <v>20</v>
      </c>
      <c r="H53" s="17"/>
      <c r="I53" s="17"/>
      <c r="J53" s="17"/>
      <c r="K53" s="17"/>
      <c r="L53" s="17"/>
      <c r="M53" s="17">
        <v>35</v>
      </c>
      <c r="N53" s="17"/>
      <c r="O53" s="17">
        <v>55.2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17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18</v>
      </c>
      <c r="C56" s="31"/>
      <c r="D56" s="31"/>
      <c r="E56" s="31"/>
      <c r="F56" s="31" t="s">
        <v>1</v>
      </c>
      <c r="G56" s="31"/>
      <c r="H56" s="31"/>
      <c r="I56" s="31" t="s">
        <v>35</v>
      </c>
      <c r="J56" s="31"/>
      <c r="K56" s="31"/>
      <c r="L56" s="12" t="s">
        <v>19</v>
      </c>
      <c r="M56" s="11" t="s">
        <v>20</v>
      </c>
      <c r="N56" s="19" t="s">
        <v>21</v>
      </c>
      <c r="O56" s="31" t="s">
        <v>18</v>
      </c>
      <c r="P56" s="31"/>
      <c r="Q56" s="31"/>
      <c r="R56" s="31"/>
      <c r="S56" s="31" t="s">
        <v>1</v>
      </c>
      <c r="T56" s="31"/>
      <c r="U56" s="31"/>
      <c r="V56" s="31" t="s">
        <v>35</v>
      </c>
      <c r="W56" s="31"/>
      <c r="X56" s="31"/>
      <c r="Y56" s="12" t="s">
        <v>2</v>
      </c>
      <c r="Z56" s="8" t="s">
        <v>20</v>
      </c>
      <c r="AA56" s="20" t="s">
        <v>21</v>
      </c>
    </row>
    <row r="57" spans="2:27" ht="24.95" customHeight="1" x14ac:dyDescent="0.3">
      <c r="B57" s="79"/>
      <c r="C57" s="80"/>
      <c r="D57" s="80"/>
      <c r="E57" s="81"/>
      <c r="F57" s="115"/>
      <c r="G57" s="116"/>
      <c r="H57" s="117"/>
      <c r="I57" s="105"/>
      <c r="J57" s="83"/>
      <c r="K57" s="84"/>
      <c r="L57" s="16"/>
      <c r="M57" s="27"/>
      <c r="N57" s="9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5"/>
      <c r="Z57" s="13"/>
      <c r="AA57" s="13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105"/>
      <c r="J58" s="83"/>
      <c r="K58" s="84"/>
      <c r="L58" s="28"/>
      <c r="M58" s="27"/>
      <c r="N58" s="9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5"/>
      <c r="Z58" s="13"/>
      <c r="AA58" s="13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105"/>
      <c r="J59" s="83"/>
      <c r="K59" s="84"/>
      <c r="L59" s="28"/>
      <c r="M59" s="27"/>
      <c r="N59" s="9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5"/>
      <c r="Z59" s="13"/>
      <c r="AA59" s="13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105"/>
      <c r="J60" s="83"/>
      <c r="K60" s="84"/>
      <c r="L60" s="28"/>
      <c r="M60" s="27"/>
      <c r="N60" s="9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5"/>
      <c r="Z60" s="13"/>
      <c r="AA60" s="13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105"/>
      <c r="J61" s="83"/>
      <c r="K61" s="84"/>
      <c r="L61" s="28"/>
      <c r="M61" s="27"/>
      <c r="N61" s="9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4"/>
      <c r="Z61" s="13"/>
      <c r="AA61" s="13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3"/>
      <c r="M62" s="10"/>
      <c r="N62" s="9"/>
      <c r="O62" s="57" t="s">
        <v>22</v>
      </c>
      <c r="P62" s="58"/>
      <c r="Q62" s="58"/>
      <c r="R62" s="58"/>
      <c r="S62" s="58"/>
      <c r="T62" s="58"/>
      <c r="U62" s="58"/>
      <c r="V62" s="59"/>
      <c r="W62" s="31" t="s">
        <v>23</v>
      </c>
      <c r="X62" s="31"/>
      <c r="Y62" s="31"/>
      <c r="Z62" s="31" t="s">
        <v>24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3"/>
      <c r="M63" s="15"/>
      <c r="N63" s="9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115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100</v>
      </c>
      <c r="F14" s="23" t="s">
        <v>8</v>
      </c>
      <c r="G14" s="24" t="s">
        <v>99</v>
      </c>
      <c r="H14" s="24" t="s">
        <v>87</v>
      </c>
      <c r="I14" s="24" t="s">
        <v>88</v>
      </c>
      <c r="J14" s="24" t="s">
        <v>92</v>
      </c>
      <c r="K14" s="24" t="s">
        <v>93</v>
      </c>
      <c r="L14" s="24" t="s">
        <v>94</v>
      </c>
      <c r="M14" s="24" t="s">
        <v>95</v>
      </c>
    </row>
    <row r="15" spans="5:14" ht="31.5" customHeight="1" x14ac:dyDescent="0.3">
      <c r="E15" s="120" t="s">
        <v>101</v>
      </c>
      <c r="F15" s="23" t="s">
        <v>86</v>
      </c>
      <c r="G15" s="23" t="s">
        <v>96</v>
      </c>
      <c r="H15" s="26" t="s">
        <v>89</v>
      </c>
      <c r="I15" s="26" t="s">
        <v>90</v>
      </c>
      <c r="J15" s="23">
        <v>40</v>
      </c>
      <c r="K15" s="23">
        <v>28</v>
      </c>
      <c r="L15" s="23" t="s">
        <v>91</v>
      </c>
      <c r="M15" s="23">
        <v>30.2</v>
      </c>
      <c r="N15" s="22"/>
    </row>
    <row r="16" spans="5:14" ht="31.5" customHeight="1" x14ac:dyDescent="0.3">
      <c r="E16" s="120"/>
      <c r="F16" s="25">
        <v>0.4375</v>
      </c>
      <c r="G16" s="25" t="s">
        <v>97</v>
      </c>
      <c r="H16" s="24">
        <v>-77</v>
      </c>
      <c r="I16" s="23">
        <v>-90</v>
      </c>
      <c r="J16" s="23">
        <v>29</v>
      </c>
      <c r="K16" s="23">
        <v>26</v>
      </c>
      <c r="L16" s="23" t="s">
        <v>98</v>
      </c>
      <c r="M16" s="23">
        <v>27.6</v>
      </c>
      <c r="N16" s="22"/>
    </row>
    <row r="17" spans="5:14" ht="31.5" customHeight="1" x14ac:dyDescent="0.3">
      <c r="E17" s="120" t="s">
        <v>106</v>
      </c>
      <c r="F17" s="23" t="s">
        <v>102</v>
      </c>
      <c r="G17" s="23" t="s">
        <v>96</v>
      </c>
      <c r="H17" s="26" t="s">
        <v>104</v>
      </c>
      <c r="I17" s="23">
        <v>-90</v>
      </c>
      <c r="J17" s="23">
        <v>26</v>
      </c>
      <c r="K17" s="23">
        <v>24</v>
      </c>
      <c r="L17" s="23" t="s">
        <v>103</v>
      </c>
      <c r="M17" s="23">
        <v>26</v>
      </c>
      <c r="N17" s="22"/>
    </row>
    <row r="18" spans="5:14" ht="31.5" customHeight="1" x14ac:dyDescent="0.3">
      <c r="E18" s="120"/>
      <c r="F18" s="25">
        <v>0.47569444444444442</v>
      </c>
      <c r="G18" s="25" t="s">
        <v>97</v>
      </c>
      <c r="H18" s="26">
        <v>-74</v>
      </c>
      <c r="I18" s="23">
        <v>-90</v>
      </c>
      <c r="J18" s="23">
        <v>26</v>
      </c>
      <c r="K18" s="23">
        <v>25</v>
      </c>
      <c r="L18" s="23" t="s">
        <v>105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2026-01-19T10:02:35Z</dcterms:modified>
</cp:coreProperties>
</file>