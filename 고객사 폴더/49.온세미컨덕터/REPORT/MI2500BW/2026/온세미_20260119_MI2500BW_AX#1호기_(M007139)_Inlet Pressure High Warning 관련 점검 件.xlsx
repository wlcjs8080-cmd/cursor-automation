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MI2500BW\2026\"/>
    </mc:Choice>
  </mc:AlternateContent>
  <bookViews>
    <workbookView xWindow="0" yWindow="0" windowWidth="28770" windowHeight="12255" tabRatio="748"/>
  </bookViews>
  <sheets>
    <sheet name="PM REPORT (새양식)" sheetId="25" r:id="rId1"/>
    <sheet name="Sheet1" sheetId="27" r:id="rId2"/>
    <sheet name="Part List" sheetId="15" state="hidden" r:id="rId3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<sst xmlns="http://schemas.openxmlformats.org/spreadsheetml/2006/main" count="218" uniqueCount="125">
  <si>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</si>
  <si>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</si>
  <si>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</si>
  <si>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</si>
  <si>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</si>
  <si>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</si>
  <si>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</si>
  <si>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</si>
  <si>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</si>
  <si>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</si>
  <si>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</si>
  <si>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</si>
  <si>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</si>
  <si>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</si>
  <si>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</si>
  <si>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</si>
  <si>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</si>
  <si>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</si>
  <si>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</si>
  <si>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</si>
  <si>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</si>
  <si>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</si>
  <si>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</si>
  <si>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</si>
  <si>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</si>
  <si>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</si>
  <si>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</si>
  <si>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</si>
  <si>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</si>
  <si>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</si>
  <si>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</si>
  <si>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</si>
  <si>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</si>
  <si>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</si>
  <si>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</si>
  <si>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</si>
  <si>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</si>
  <si>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</si>
  <si>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</si>
  <si>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</si>
  <si>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</si>
  <si>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</si>
  <si>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</si>
  <si>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</si>
  <si>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</si>
  <si>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</si>
  <si>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</si>
  <si>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</si>
  <si>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</si>
  <si>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</si>
  <si>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</si>
  <si>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</si>
  <si>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</si>
  <si>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</si>
  <si>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</si>
  <si>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</si>
  <si>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</si>
  <si>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</si>
  <si>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</si>
  <si>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</si>
  <si>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</si>
  <si>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</si>
  <si>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</si>
  <si>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</si>
  <si>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</si>
  <si>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</si>
  <si>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</si>
  <si>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</si>
  <si>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</si>
  <si>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</si>
  <si>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</si>
  <si>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</si>
  <si>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</si>
  <si>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</si>
  <si>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</si>
  <si>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</si>
  <si>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</si>
  <si>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</si>
  <si>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온세미컨덕터</t>
    <phoneticPr fontId="1" type="noConversion"/>
  </si>
  <si>
    <t>MI2500BW</t>
    <phoneticPr fontId="1" type="noConversion"/>
  </si>
  <si>
    <r>
      <t xml:space="preserve">B/A.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</si>
  <si>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Burnning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</si>
  <si>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t>08:44~10:09</t>
    <phoneticPr fontId="1" type="noConversion"/>
  </si>
  <si>
    <t>Inlet Pressure
Hunting</t>
    <phoneticPr fontId="1" type="noConversion"/>
  </si>
  <si>
    <t>Exhaust Pressure
Hunting</t>
    <phoneticPr fontId="1" type="noConversion"/>
  </si>
  <si>
    <t>-68 ~ -74</t>
    <phoneticPr fontId="1" type="noConversion"/>
  </si>
  <si>
    <t>-88 ~ -93</t>
    <phoneticPr fontId="1" type="noConversion"/>
  </si>
  <si>
    <t>45.23 ~ 45.52</t>
    <phoneticPr fontId="1" type="noConversion"/>
  </si>
  <si>
    <t>Exhaust
Temp</t>
    <phoneticPr fontId="1" type="noConversion"/>
  </si>
  <si>
    <t>Wet
Temp</t>
    <phoneticPr fontId="1" type="noConversion"/>
  </si>
  <si>
    <t>Blower
Inverter Hz</t>
    <phoneticPr fontId="1" type="noConversion"/>
  </si>
  <si>
    <t>Blower Out
산배기 표면온도</t>
    <phoneticPr fontId="1" type="noConversion"/>
  </si>
  <si>
    <t>O</t>
    <phoneticPr fontId="1" type="noConversion"/>
  </si>
  <si>
    <t>X</t>
    <phoneticPr fontId="1" type="noConversion"/>
  </si>
  <si>
    <t>45.74 ~ 46.11</t>
    <phoneticPr fontId="1" type="noConversion"/>
  </si>
  <si>
    <t>Main Tool
Run</t>
    <phoneticPr fontId="1" type="noConversion"/>
  </si>
  <si>
    <t>호기</t>
    <phoneticPr fontId="1" type="noConversion"/>
  </si>
  <si>
    <t>AX#02</t>
    <phoneticPr fontId="1" type="noConversion"/>
  </si>
  <si>
    <t>09:45 ~ 11:00</t>
    <phoneticPr fontId="1" type="noConversion"/>
  </si>
  <si>
    <t>49.17 ~ 49.29</t>
    <phoneticPr fontId="1" type="noConversion"/>
  </si>
  <si>
    <t>-72 ~ -74</t>
    <phoneticPr fontId="1" type="noConversion"/>
  </si>
  <si>
    <t>49.14 ~ 49.27</t>
    <phoneticPr fontId="1" type="noConversion"/>
  </si>
  <si>
    <t>AX#03</t>
    <phoneticPr fontId="1" type="noConversion"/>
  </si>
  <si>
    <t>M007139</t>
    <phoneticPr fontId="1" type="noConversion"/>
  </si>
  <si>
    <t>3. 원인</t>
    <phoneticPr fontId="1" type="noConversion"/>
  </si>
  <si>
    <t>1. 작업명</t>
    <phoneticPr fontId="1" type="noConversion"/>
  </si>
  <si>
    <t xml:space="preserve"> </t>
    <phoneticPr fontId="1" type="noConversion"/>
  </si>
  <si>
    <t>윤상우 주임님</t>
    <phoneticPr fontId="1" type="noConversion"/>
  </si>
  <si>
    <t>무상</t>
    <phoneticPr fontId="1" type="noConversion"/>
  </si>
  <si>
    <t>H2, TCS</t>
    <phoneticPr fontId="1" type="noConversion"/>
  </si>
  <si>
    <t>정동교, 양윤철, 조재현, 서문완, 정시훈</t>
    <phoneticPr fontId="1" type="noConversion"/>
  </si>
  <si>
    <t>서문완</t>
    <phoneticPr fontId="1" type="noConversion"/>
  </si>
  <si>
    <t xml:space="preserve">Exhaust 하부 열교환기 판막 부식 및 EXHAUST CIR' WATER 유량 증가로 인한 수막현상 발생하여 Inlet Pressure 차압 발생 </t>
    <phoneticPr fontId="1" type="noConversion"/>
  </si>
  <si>
    <t xml:space="preserve"> INLET PRESSURE 차압 관련 설비점검 진행</t>
    <phoneticPr fontId="1" type="noConversion"/>
  </si>
  <si>
    <t xml:space="preserve">EXHAUST CIR' WATER 유량 증가로 인한 EXHAUST 수막 발생으로 INLET PRESSURE 차압 발생 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</si>
  <si>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>&lt; INLET &amp; EXHAUST PRESSURE 차압 발생여부 TEST 진행 &gt;</t>
    </r>
    <r>
      <rPr>
        <sz val="14"/>
        <color theme="1"/>
        <rFont val="맑은 고딕"/>
        <family val="3"/>
        <charset val="129"/>
        <scheme val="minor"/>
      </rPr>
      <t xml:space="preserve">
 - Scrubber Temp Down 후 설비 TEST 진행
 * Burnchamber Bellows 탈착 및 Endcap 막음 조치 후 Blower Test 진행
 - Blower Elbow 탈착 및 내부 점검 진행
 → 변형, 부식, 코팅 문제로 인한 Inlet Pressure 차압 가능성 이상없음 확인  
 - Blower 문제 가능성도 있어 고객社에서 보관하고 있는 Blower(심한진동으로 교체된) Cleaning 후 Swap 및 
   Test 진행
 (TEST 진행 시 EXH CIR' WATER NOZZLE #1 후단 LINE에 수동 VALVE 제한된 개방으로 #2 유입 Water량을 제한
  시킴)
 → WET CIR' WATER만 유입 : IN -93, EXH -100 → 정상 범위
 → 시수 SUPPLY WATER만 유입 : IN -89, EXH -100 → 정상 범위
 → EXH CIR' WATER만 유입 :</t>
    </r>
    <r>
      <rPr>
        <sz val="14"/>
        <color rgb="FFFF0000"/>
        <rFont val="맑은 고딕"/>
        <family val="3"/>
        <charset val="129"/>
        <scheme val="minor"/>
      </rPr>
      <t>IN -34</t>
    </r>
    <r>
      <rPr>
        <sz val="14"/>
        <color theme="1"/>
        <rFont val="맑은 고딕"/>
        <family val="3"/>
        <charset val="129"/>
        <scheme val="minor"/>
      </rPr>
      <t xml:space="preserve">, EXH -100 → 차압 확인
 - Blower Swap 및 Test 진행결과 차압발생은 변동이 없는것을 확인하여 고객社에서 보유하고 있는 열교환기로 
   교체 및 Test 진행
 - 열교환기 교체 후 Inlet pressure Test 진행 </t>
    </r>
    <r>
      <rPr>
        <sz val="14"/>
        <color theme="1"/>
        <rFont val="맑은 고딕"/>
        <family val="3"/>
        <charset val="129"/>
      </rPr>
      <t xml:space="preserve">
 →  WET CIR' WATER만 유입 : IN -91, EXH -110 → 정상 범위
 → 시수 SUPPLY WATER만 유입 : IN -87, EXH -110 → 정상 범위
 →</t>
    </r>
    <r>
      <rPr>
        <sz val="14"/>
        <color rgb="FFFF0000"/>
        <rFont val="맑은 고딕"/>
        <family val="3"/>
        <charset val="129"/>
      </rPr>
      <t xml:space="preserve"> EXH CIR' WATER만 유입 : 전: IN -32, EXH -110 후: IN -97, EXH -110 → 정상 범위</t>
    </r>
    <r>
      <rPr>
        <sz val="14"/>
        <color theme="1"/>
        <rFont val="맑은 고딕"/>
        <family val="3"/>
        <charset val="129"/>
      </rPr>
      <t xml:space="preserve">
 - 열교환기 교체 및 Test 후 차압 변동 없어 설비 원복 후 Auto Mode 가동 진행 中 Inlet Pressure 정상범위로 돌아
   온것을 확인 (WATER NOZZLE #1 후단 LINE 수동 VALVE Full Open 후 설비 가동진행)
 - 차압은 해소 됐으나 Inlet Pressure 차압이 10정도 비어서 추후 Exhasut Nozzle ( Spiral, 중공), Pump 자재 수급 후
   교체 및 Test 진행예정
 -</t>
    </r>
    <r>
      <rPr>
        <sz val="14"/>
        <color rgb="FFFF0000"/>
        <rFont val="맑은 고딕"/>
        <family val="3"/>
        <charset val="129"/>
      </rPr>
      <t xml:space="preserve"> Exhaust 하부 열교환기 판막 부식 및 EXHAUST CIR' WATER 유량 증가로 인한 수막현상 발생하여 Inlet Pressure
   차압 발생인것으로 추정되어 현 상태 유지 및 지속적인 관찰 및 점검 필요
</t>
    </r>
    <r>
      <rPr>
        <sz val="14"/>
        <color theme="1"/>
        <rFont val="맑은 고딕"/>
        <family val="3"/>
        <charset val="129"/>
      </rPr>
      <t xml:space="preserve">
</t>
    </r>
    <r>
      <rPr>
        <sz val="14"/>
        <color rgb="FFFF0000"/>
        <rFont val="맑은 고딕"/>
        <family val="3"/>
        <charset val="129"/>
      </rPr>
      <t>* 자재 수급 예정
 - Exhaust nozzle Tip (Spiral, 중공)
 - PM-300 Pump</t>
    </r>
    <r>
      <rPr>
        <b/>
        <sz val="14"/>
        <color rgb="FFFF0000"/>
        <rFont val="맑은 고딕"/>
        <family val="3"/>
        <charset val="129"/>
      </rPr>
      <t xml:space="preserve">
  </t>
    </r>
    <phoneticPr fontId="1" type="noConversion"/>
  </si>
  <si>
    <t>열교환기(태봉)</t>
    <phoneticPr fontId="1" type="noConversion"/>
  </si>
  <si>
    <t>TX05-35(30,000Kcal)</t>
    <phoneticPr fontId="1" type="noConversion"/>
  </si>
  <si>
    <t>900-500-052</t>
    <phoneticPr fontId="1" type="noConversion"/>
  </si>
  <si>
    <t>2EA</t>
    <phoneticPr fontId="1" type="noConversion"/>
  </si>
  <si>
    <t>무상</t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</si>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</sst>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</font>
    <font>
      <sz val="14"/>
      <color rgb="FFFF0000"/>
      <name val="맑은 고딕"/>
      <family val="3"/>
      <charset val="129"/>
    </font>
    <font>
      <b/>
      <sz val="14"/>
      <color rgb="FFFF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22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12" fillId="3" borderId="11" xfId="0" quotePrefix="1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8414380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8416511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8410681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8412812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8411995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8414126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8411995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8414126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8405802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8414126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8409635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8413124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8411995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8414126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8411995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8414126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8411995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8414126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8411995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8414126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8411995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8414126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8410681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8412812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9502951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9505082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9502951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9505082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9502951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9505082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9502951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9505082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9500566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9502697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9500566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9502697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9500566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9502697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9499252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9501383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9499252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9501383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752475</xdr:colOff>
      <xdr:row>22</xdr:row>
      <xdr:rowOff>47625</xdr:rowOff>
    </xdr:from>
    <xdr:to>
      <xdr:col>15</xdr:col>
      <xdr:colOff>114300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9</xdr:col>
      <xdr:colOff>561975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819150</xdr:colOff>
      <xdr:row>8</xdr:row>
      <xdr:rowOff>47625</xdr:rowOff>
    </xdr:from>
    <xdr:to>
      <xdr:col>18</xdr:col>
      <xdr:colOff>352425</xdr:colOff>
      <xdr:row>15</xdr:row>
      <xdr:rowOff>209550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FA0D82D3-6EC6-0C86-E7BD-71A1A1023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1724025"/>
          <a:ext cx="7905750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3</v>
      </c>
      <c r="T2" s="57"/>
      <c r="U2" s="57"/>
      <c r="V2" s="57" t="s">
        <v>4</v>
      </c>
      <c r="W2" s="57"/>
      <c r="X2" s="57"/>
      <c r="Y2" s="57" t="s">
        <v>5</v>
      </c>
      <c r="Z2" s="57"/>
      <c r="AA2" s="57"/>
    </row>
    <row r="3" spans="2:39" ht="15" customHeight="1" x14ac:dyDescent="0.3">
      <c r="F3" s="2" t="s">
        <v>6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0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2" t="s">
        <v>111</v>
      </c>
      <c r="T4" s="93"/>
      <c r="U4" s="93"/>
      <c r="V4" s="92"/>
      <c r="W4" s="93"/>
      <c r="X4" s="98"/>
      <c r="Y4" s="64"/>
      <c r="Z4" s="64"/>
      <c r="AA4" s="64"/>
    </row>
    <row r="5" spans="2:39" ht="15" customHeight="1" x14ac:dyDescent="0.3">
      <c r="I5" s="4"/>
      <c r="J5" s="4"/>
      <c r="K5" s="4"/>
      <c r="L5" s="4"/>
      <c r="M5" s="4"/>
      <c r="N5" s="4"/>
      <c r="S5" s="94"/>
      <c r="T5" s="95"/>
      <c r="U5" s="95"/>
      <c r="V5" s="94"/>
      <c r="W5" s="95"/>
      <c r="X5" s="99"/>
      <c r="Y5" s="64"/>
      <c r="Z5" s="64"/>
      <c r="AA5" s="64"/>
    </row>
    <row r="6" spans="2:39" ht="15" customHeight="1" x14ac:dyDescent="0.3">
      <c r="B6" s="101" t="s">
        <v>25</v>
      </c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96"/>
      <c r="T6" s="97"/>
      <c r="U6" s="97"/>
      <c r="V6" s="96"/>
      <c r="W6" s="97"/>
      <c r="X6" s="100"/>
      <c r="Y6" s="64"/>
      <c r="Z6" s="64"/>
      <c r="AA6" s="64"/>
    </row>
    <row r="7" spans="2:39" ht="3" customHeight="1" x14ac:dyDescent="0.3"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2" t="s">
        <v>7</v>
      </c>
      <c r="T8" s="103"/>
      <c r="U8" s="103"/>
      <c r="V8" s="65">
        <v>46041</v>
      </c>
      <c r="W8" s="65"/>
      <c r="X8" s="65"/>
      <c r="Y8" s="65"/>
      <c r="Z8" s="65"/>
      <c r="AA8" s="6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2" t="s">
        <v>77</v>
      </c>
      <c r="T9" s="103"/>
      <c r="U9" s="103"/>
      <c r="V9" s="34">
        <v>0.375</v>
      </c>
      <c r="W9" s="35"/>
      <c r="X9" s="18" t="s">
        <v>76</v>
      </c>
      <c r="Y9" s="36">
        <v>0.6875</v>
      </c>
      <c r="Z9" s="37"/>
      <c r="AA9" s="21">
        <f>Y9-V9</f>
        <v>0.3125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9</v>
      </c>
      <c r="C10" s="32"/>
      <c r="D10" s="32"/>
      <c r="E10" s="57" t="s">
        <v>78</v>
      </c>
      <c r="F10" s="57"/>
      <c r="G10" s="57"/>
      <c r="H10" s="57"/>
      <c r="I10" s="57"/>
      <c r="J10" s="57"/>
      <c r="K10" s="32" t="s">
        <v>27</v>
      </c>
      <c r="L10" s="32"/>
      <c r="M10" s="32"/>
      <c r="N10" s="44" t="s">
        <v>79</v>
      </c>
      <c r="O10" s="45"/>
      <c r="P10" s="45"/>
      <c r="Q10" s="45"/>
      <c r="R10" s="46"/>
      <c r="S10" s="32" t="s">
        <v>29</v>
      </c>
      <c r="T10" s="32"/>
      <c r="U10" s="32"/>
      <c r="V10" s="65">
        <v>45107</v>
      </c>
      <c r="W10" s="65"/>
      <c r="X10" s="65"/>
      <c r="Y10" s="65"/>
      <c r="Z10" s="65"/>
      <c r="AA10" s="65"/>
    </row>
    <row r="11" spans="2:39" ht="24.95" customHeight="1" x14ac:dyDescent="0.3">
      <c r="B11" s="32" t="s">
        <v>10</v>
      </c>
      <c r="C11" s="32"/>
      <c r="D11" s="32"/>
      <c r="E11" s="57" t="s">
        <v>107</v>
      </c>
      <c r="F11" s="57"/>
      <c r="G11" s="57"/>
      <c r="H11" s="57"/>
      <c r="I11" s="57"/>
      <c r="J11" s="57"/>
      <c r="K11" s="32" t="s">
        <v>32</v>
      </c>
      <c r="L11" s="32"/>
      <c r="M11" s="32"/>
      <c r="N11" s="44" t="s">
        <v>103</v>
      </c>
      <c r="O11" s="45"/>
      <c r="P11" s="45"/>
      <c r="Q11" s="45"/>
      <c r="R11" s="46"/>
      <c r="S11" s="32" t="s">
        <v>30</v>
      </c>
      <c r="T11" s="32"/>
      <c r="U11" s="32"/>
      <c r="V11" s="65">
        <v>46021</v>
      </c>
      <c r="W11" s="65"/>
      <c r="X11" s="65"/>
      <c r="Y11" s="65"/>
      <c r="Z11" s="65"/>
      <c r="AA11" s="65"/>
    </row>
    <row r="12" spans="2:39" ht="24.95" customHeight="1" x14ac:dyDescent="0.3">
      <c r="B12" s="32" t="s">
        <v>11</v>
      </c>
      <c r="C12" s="32"/>
      <c r="D12" s="32"/>
      <c r="E12" s="57" t="s">
        <v>110</v>
      </c>
      <c r="F12" s="57"/>
      <c r="G12" s="57"/>
      <c r="H12" s="57"/>
      <c r="I12" s="57"/>
      <c r="J12" s="57"/>
      <c r="K12" s="32" t="s">
        <v>33</v>
      </c>
      <c r="L12" s="32"/>
      <c r="M12" s="32"/>
      <c r="N12" s="44" t="s">
        <v>109</v>
      </c>
      <c r="O12" s="45"/>
      <c r="P12" s="45"/>
      <c r="Q12" s="45"/>
      <c r="R12" s="46"/>
      <c r="S12" s="32" t="s">
        <v>31</v>
      </c>
      <c r="T12" s="32"/>
      <c r="U12" s="32"/>
      <c r="V12" s="66">
        <f>V8-V11</f>
        <v>20</v>
      </c>
      <c r="W12" s="66"/>
      <c r="X12" s="66"/>
      <c r="Y12" s="66"/>
      <c r="Z12" s="66"/>
      <c r="AA12" s="66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105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113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1"/>
      <c r="S15" s="72"/>
      <c r="T15" s="72"/>
      <c r="U15" s="72"/>
      <c r="V15" s="72"/>
      <c r="W15" s="71"/>
      <c r="X15" s="72"/>
      <c r="Y15" s="72"/>
      <c r="Z15" s="72"/>
      <c r="AA15" s="77"/>
    </row>
    <row r="16" spans="2:39" ht="24.95" customHeight="1" x14ac:dyDescent="0.3">
      <c r="B16" s="50" t="s">
        <v>42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3"/>
      <c r="S16" s="74"/>
      <c r="T16" s="74"/>
      <c r="U16" s="74"/>
      <c r="V16" s="74"/>
      <c r="W16" s="73"/>
      <c r="X16" s="74"/>
      <c r="Y16" s="74"/>
      <c r="Z16" s="74"/>
      <c r="AA16" s="78"/>
    </row>
    <row r="17" spans="2:27" ht="39.950000000000003" customHeight="1" x14ac:dyDescent="0.3">
      <c r="B17" s="47" t="s">
        <v>114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3"/>
      <c r="S17" s="74"/>
      <c r="T17" s="74"/>
      <c r="U17" s="74"/>
      <c r="V17" s="74"/>
      <c r="W17" s="73"/>
      <c r="X17" s="74"/>
      <c r="Y17" s="74"/>
      <c r="Z17" s="74"/>
      <c r="AA17" s="78"/>
    </row>
    <row r="18" spans="2:27" ht="24.95" customHeight="1" x14ac:dyDescent="0.3">
      <c r="B18" s="50" t="s">
        <v>104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3"/>
      <c r="S18" s="74"/>
      <c r="T18" s="74"/>
      <c r="U18" s="74"/>
      <c r="V18" s="74"/>
      <c r="W18" s="73"/>
      <c r="X18" s="74"/>
      <c r="Y18" s="74"/>
      <c r="Z18" s="74"/>
      <c r="AA18" s="78"/>
    </row>
    <row r="19" spans="2:27" ht="24.95" customHeight="1" x14ac:dyDescent="0.3">
      <c r="B19" s="38" t="s">
        <v>112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3"/>
      <c r="S19" s="74"/>
      <c r="T19" s="74"/>
      <c r="U19" s="74"/>
      <c r="V19" s="74"/>
      <c r="W19" s="73"/>
      <c r="X19" s="74"/>
      <c r="Y19" s="74"/>
      <c r="Z19" s="74"/>
      <c r="AA19" s="78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3"/>
      <c r="S20" s="74"/>
      <c r="T20" s="74"/>
      <c r="U20" s="74"/>
      <c r="V20" s="74"/>
      <c r="W20" s="73"/>
      <c r="X20" s="74"/>
      <c r="Y20" s="74"/>
      <c r="Z20" s="74"/>
      <c r="AA20" s="78"/>
    </row>
    <row r="21" spans="2:27" ht="24.95" customHeight="1" x14ac:dyDescent="0.3">
      <c r="B21" s="67" t="s">
        <v>106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9"/>
      <c r="R21" s="75"/>
      <c r="S21" s="76"/>
      <c r="T21" s="76"/>
      <c r="U21" s="76"/>
      <c r="V21" s="76"/>
      <c r="W21" s="75"/>
      <c r="X21" s="76"/>
      <c r="Y21" s="76"/>
      <c r="Z21" s="76"/>
      <c r="AA21" s="79"/>
    </row>
    <row r="22" spans="2:27" ht="39.950000000000003" customHeight="1" x14ac:dyDescent="0.3">
      <c r="B22" s="70" t="s">
        <v>115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97.5" customHeight="1" x14ac:dyDescent="0.3"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26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19" t="s">
        <v>13</v>
      </c>
      <c r="C42" s="60"/>
      <c r="D42" s="107" t="s">
        <v>47</v>
      </c>
      <c r="E42" s="108"/>
      <c r="F42" s="107" t="s">
        <v>48</v>
      </c>
      <c r="G42" s="108"/>
      <c r="H42" s="107" t="s">
        <v>49</v>
      </c>
      <c r="I42" s="108"/>
      <c r="J42" s="107" t="s">
        <v>50</v>
      </c>
      <c r="K42" s="108"/>
      <c r="L42" s="107" t="s">
        <v>51</v>
      </c>
      <c r="M42" s="108"/>
      <c r="N42" s="107" t="s">
        <v>52</v>
      </c>
      <c r="O42" s="111"/>
      <c r="P42" s="107" t="s">
        <v>53</v>
      </c>
      <c r="Q42" s="111"/>
      <c r="R42" s="107" t="s">
        <v>54</v>
      </c>
      <c r="S42" s="111"/>
      <c r="T42" s="107" t="s">
        <v>55</v>
      </c>
      <c r="U42" s="111"/>
      <c r="V42" s="107" t="s">
        <v>56</v>
      </c>
      <c r="W42" s="111"/>
      <c r="X42" s="107" t="s">
        <v>80</v>
      </c>
      <c r="Y42" s="111"/>
      <c r="Z42" s="107" t="s">
        <v>57</v>
      </c>
      <c r="AA42" s="111"/>
    </row>
    <row r="43" spans="2:27" ht="24.95" customHeight="1" x14ac:dyDescent="0.3">
      <c r="B43" s="120"/>
      <c r="C43" s="88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9"/>
      <c r="C44" s="63"/>
      <c r="D44" s="17"/>
      <c r="E44" s="17">
        <v>-110</v>
      </c>
      <c r="F44" s="17"/>
      <c r="G44" s="17">
        <v>-97</v>
      </c>
      <c r="H44" s="17"/>
      <c r="I44" s="17"/>
      <c r="J44" s="17"/>
      <c r="K44" s="17"/>
      <c r="L44" s="17"/>
      <c r="M44" s="17"/>
      <c r="N44" s="17"/>
      <c r="O44" s="17"/>
      <c r="P44" s="17"/>
      <c r="Q44" s="17">
        <v>33</v>
      </c>
      <c r="R44" s="17"/>
      <c r="S44" s="17"/>
      <c r="T44" s="17">
        <v>59</v>
      </c>
      <c r="U44" s="17">
        <v>48</v>
      </c>
      <c r="V44" s="17">
        <v>57</v>
      </c>
      <c r="W44" s="17">
        <v>48</v>
      </c>
      <c r="X44" s="17">
        <v>54</v>
      </c>
      <c r="Y44" s="17">
        <v>44</v>
      </c>
      <c r="Z44" s="17"/>
      <c r="AA44" s="17"/>
    </row>
    <row r="45" spans="2:27" ht="36.950000000000003" customHeight="1" x14ac:dyDescent="0.3">
      <c r="B45" s="86" t="s">
        <v>16</v>
      </c>
      <c r="C45" s="60"/>
      <c r="D45" s="107" t="s">
        <v>36</v>
      </c>
      <c r="E45" s="108"/>
      <c r="F45" s="107" t="s">
        <v>37</v>
      </c>
      <c r="G45" s="108"/>
      <c r="H45" s="107" t="s">
        <v>38</v>
      </c>
      <c r="I45" s="108"/>
      <c r="J45" s="107" t="s">
        <v>39</v>
      </c>
      <c r="K45" s="108"/>
      <c r="L45" s="107" t="s">
        <v>40</v>
      </c>
      <c r="M45" s="111"/>
      <c r="N45" s="107" t="s">
        <v>41</v>
      </c>
      <c r="O45" s="111"/>
      <c r="P45" s="107" t="s">
        <v>44</v>
      </c>
      <c r="Q45" s="111"/>
      <c r="R45" s="107" t="s">
        <v>28</v>
      </c>
      <c r="S45" s="111"/>
      <c r="T45" s="107" t="s">
        <v>34</v>
      </c>
      <c r="U45" s="111"/>
      <c r="V45" s="107" t="s">
        <v>45</v>
      </c>
      <c r="W45" s="111"/>
      <c r="X45" s="90" t="s">
        <v>46</v>
      </c>
      <c r="Y45" s="91"/>
      <c r="Z45" s="91"/>
      <c r="AA45" s="91"/>
    </row>
    <row r="46" spans="2:27" ht="24.95" customHeight="1" x14ac:dyDescent="0.3">
      <c r="B46" s="87"/>
      <c r="C46" s="88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9"/>
      <c r="C47" s="63"/>
      <c r="D47" s="17"/>
      <c r="E47" s="17">
        <v>550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29"/>
      <c r="U47" s="17">
        <v>29</v>
      </c>
      <c r="V47" s="17"/>
      <c r="W47" s="17"/>
      <c r="X47" s="17"/>
      <c r="Y47" s="17">
        <v>25</v>
      </c>
      <c r="Z47" s="17"/>
      <c r="AA47" s="17"/>
    </row>
    <row r="48" spans="2:27" ht="36.75" customHeight="1" x14ac:dyDescent="0.3">
      <c r="B48" s="86" t="s">
        <v>43</v>
      </c>
      <c r="C48" s="60"/>
      <c r="D48" s="90" t="s">
        <v>61</v>
      </c>
      <c r="E48" s="91"/>
      <c r="F48" s="90" t="s">
        <v>62</v>
      </c>
      <c r="G48" s="91"/>
      <c r="H48" s="90" t="s">
        <v>63</v>
      </c>
      <c r="I48" s="91"/>
      <c r="J48" s="90" t="s">
        <v>64</v>
      </c>
      <c r="K48" s="91"/>
      <c r="L48" s="90" t="s">
        <v>81</v>
      </c>
      <c r="M48" s="91"/>
      <c r="N48" s="90" t="s">
        <v>65</v>
      </c>
      <c r="O48" s="91"/>
      <c r="P48" s="107" t="s">
        <v>123</v>
      </c>
      <c r="Q48" s="108"/>
      <c r="R48" s="104" t="s">
        <v>124</v>
      </c>
      <c r="S48" s="105"/>
      <c r="T48" s="114" t="s">
        <v>121</v>
      </c>
      <c r="U48" s="115"/>
      <c r="V48" s="114" t="s">
        <v>122</v>
      </c>
      <c r="W48" s="115"/>
      <c r="X48" s="114" t="s">
        <v>58</v>
      </c>
      <c r="Y48" s="115"/>
      <c r="Z48" s="107" t="s">
        <v>66</v>
      </c>
      <c r="AA48" s="108"/>
    </row>
    <row r="49" spans="2:27" ht="24.95" customHeight="1" x14ac:dyDescent="0.3">
      <c r="B49" s="87"/>
      <c r="C49" s="88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/>
      <c r="W49" s="7"/>
      <c r="X49" s="7"/>
      <c r="Y49" s="7"/>
      <c r="Z49" s="7"/>
      <c r="AA49" s="7"/>
    </row>
    <row r="50" spans="2:27" ht="24.95" customHeight="1" x14ac:dyDescent="0.3">
      <c r="B50" s="87"/>
      <c r="C50" s="88"/>
      <c r="D50" s="17"/>
      <c r="E50" s="17"/>
      <c r="F50" s="17"/>
      <c r="G50" s="17">
        <v>50</v>
      </c>
      <c r="H50" s="17">
        <v>480</v>
      </c>
      <c r="I50" s="17">
        <v>440</v>
      </c>
      <c r="J50" s="17">
        <v>480</v>
      </c>
      <c r="K50" s="17">
        <v>440</v>
      </c>
      <c r="L50" s="17">
        <v>490</v>
      </c>
      <c r="M50" s="17">
        <v>480</v>
      </c>
      <c r="N50" s="17"/>
      <c r="O50" s="17"/>
      <c r="P50" s="17">
        <v>170</v>
      </c>
      <c r="Q50" s="17">
        <v>160</v>
      </c>
      <c r="R50" s="17">
        <v>130</v>
      </c>
      <c r="S50" s="17">
        <v>160</v>
      </c>
      <c r="T50" s="30"/>
      <c r="U50" s="30">
        <v>1</v>
      </c>
      <c r="V50" s="30"/>
      <c r="W50" s="30">
        <v>1</v>
      </c>
      <c r="X50" s="30"/>
      <c r="Y50" s="30"/>
      <c r="Z50" s="17"/>
      <c r="AA50" s="17"/>
    </row>
    <row r="51" spans="2:27" ht="36.75" customHeight="1" x14ac:dyDescent="0.3">
      <c r="B51" s="87"/>
      <c r="C51" s="88"/>
      <c r="D51" s="90" t="s">
        <v>67</v>
      </c>
      <c r="E51" s="91"/>
      <c r="F51" s="90" t="s">
        <v>68</v>
      </c>
      <c r="G51" s="91"/>
      <c r="H51" s="90" t="s">
        <v>69</v>
      </c>
      <c r="I51" s="91"/>
      <c r="J51" s="90" t="s">
        <v>70</v>
      </c>
      <c r="K51" s="91"/>
      <c r="L51" s="104" t="s">
        <v>59</v>
      </c>
      <c r="M51" s="105"/>
      <c r="N51" s="90" t="s">
        <v>71</v>
      </c>
      <c r="O51" s="91"/>
      <c r="P51" s="104" t="s">
        <v>60</v>
      </c>
      <c r="Q51" s="105"/>
      <c r="R51" s="90" t="s">
        <v>72</v>
      </c>
      <c r="S51" s="91"/>
      <c r="T51" s="109" t="s">
        <v>75</v>
      </c>
      <c r="U51" s="110"/>
      <c r="V51" s="107" t="s">
        <v>73</v>
      </c>
      <c r="W51" s="111"/>
      <c r="X51" s="107" t="s">
        <v>74</v>
      </c>
      <c r="Y51" s="111"/>
      <c r="Z51" s="112"/>
      <c r="AA51" s="113"/>
    </row>
    <row r="52" spans="2:27" ht="24.95" customHeight="1" x14ac:dyDescent="0.3">
      <c r="B52" s="87"/>
      <c r="C52" s="88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9"/>
      <c r="C53" s="63"/>
      <c r="D53" s="17"/>
      <c r="E53" s="17">
        <v>20</v>
      </c>
      <c r="F53" s="17"/>
      <c r="G53" s="17">
        <v>20</v>
      </c>
      <c r="H53" s="17"/>
      <c r="I53" s="17"/>
      <c r="J53" s="17"/>
      <c r="K53" s="17"/>
      <c r="L53" s="17"/>
      <c r="M53" s="17">
        <v>34</v>
      </c>
      <c r="N53" s="17">
        <v>55.5</v>
      </c>
      <c r="O53" s="17">
        <v>32.5</v>
      </c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18</v>
      </c>
      <c r="C56" s="32"/>
      <c r="D56" s="32"/>
      <c r="E56" s="32"/>
      <c r="F56" s="32" t="s">
        <v>1</v>
      </c>
      <c r="G56" s="32"/>
      <c r="H56" s="32"/>
      <c r="I56" s="32" t="s">
        <v>35</v>
      </c>
      <c r="J56" s="32"/>
      <c r="K56" s="32"/>
      <c r="L56" s="12" t="s">
        <v>19</v>
      </c>
      <c r="M56" s="11" t="s">
        <v>20</v>
      </c>
      <c r="N56" s="19" t="s">
        <v>21</v>
      </c>
      <c r="O56" s="32" t="s">
        <v>18</v>
      </c>
      <c r="P56" s="32"/>
      <c r="Q56" s="32"/>
      <c r="R56" s="32"/>
      <c r="S56" s="32" t="s">
        <v>1</v>
      </c>
      <c r="T56" s="32"/>
      <c r="U56" s="32"/>
      <c r="V56" s="32" t="s">
        <v>35</v>
      </c>
      <c r="W56" s="32"/>
      <c r="X56" s="32"/>
      <c r="Y56" s="12" t="s">
        <v>2</v>
      </c>
      <c r="Z56" s="8" t="s">
        <v>20</v>
      </c>
      <c r="AA56" s="20" t="s">
        <v>21</v>
      </c>
    </row>
    <row r="57" spans="2:27" ht="24.95" customHeight="1" x14ac:dyDescent="0.3">
      <c r="B57" s="80" t="s">
        <v>116</v>
      </c>
      <c r="C57" s="81"/>
      <c r="D57" s="81"/>
      <c r="E57" s="82"/>
      <c r="F57" s="116" t="s">
        <v>117</v>
      </c>
      <c r="G57" s="117"/>
      <c r="H57" s="118"/>
      <c r="I57" s="106" t="s">
        <v>118</v>
      </c>
      <c r="J57" s="84"/>
      <c r="K57" s="85"/>
      <c r="L57" s="16" t="s">
        <v>119</v>
      </c>
      <c r="M57" s="27" t="s">
        <v>120</v>
      </c>
      <c r="N57" s="9"/>
      <c r="O57" s="80"/>
      <c r="P57" s="81"/>
      <c r="Q57" s="81"/>
      <c r="R57" s="82"/>
      <c r="S57" s="80"/>
      <c r="T57" s="81"/>
      <c r="U57" s="82"/>
      <c r="V57" s="83"/>
      <c r="W57" s="84"/>
      <c r="X57" s="85"/>
      <c r="Y57" s="15"/>
      <c r="Z57" s="13"/>
      <c r="AA57" s="13"/>
    </row>
    <row r="58" spans="2:27" ht="24.95" customHeight="1" x14ac:dyDescent="0.3">
      <c r="B58" s="80"/>
      <c r="C58" s="81"/>
      <c r="D58" s="81"/>
      <c r="E58" s="82"/>
      <c r="F58" s="80"/>
      <c r="G58" s="81"/>
      <c r="H58" s="82"/>
      <c r="I58" s="106"/>
      <c r="J58" s="84"/>
      <c r="K58" s="85"/>
      <c r="L58" s="28"/>
      <c r="M58" s="27"/>
      <c r="N58" s="9"/>
      <c r="O58" s="80"/>
      <c r="P58" s="81"/>
      <c r="Q58" s="81"/>
      <c r="R58" s="82"/>
      <c r="S58" s="80"/>
      <c r="T58" s="81"/>
      <c r="U58" s="82"/>
      <c r="V58" s="83"/>
      <c r="W58" s="84"/>
      <c r="X58" s="85"/>
      <c r="Y58" s="15"/>
      <c r="Z58" s="13"/>
      <c r="AA58" s="13"/>
    </row>
    <row r="59" spans="2:27" ht="24.95" customHeight="1" x14ac:dyDescent="0.3">
      <c r="B59" s="80"/>
      <c r="C59" s="81"/>
      <c r="D59" s="81"/>
      <c r="E59" s="82"/>
      <c r="F59" s="80"/>
      <c r="G59" s="81"/>
      <c r="H59" s="82"/>
      <c r="I59" s="106"/>
      <c r="J59" s="84"/>
      <c r="K59" s="85"/>
      <c r="L59" s="28"/>
      <c r="M59" s="27"/>
      <c r="N59" s="9"/>
      <c r="O59" s="80"/>
      <c r="P59" s="81"/>
      <c r="Q59" s="81"/>
      <c r="R59" s="82"/>
      <c r="S59" s="80"/>
      <c r="T59" s="81"/>
      <c r="U59" s="82"/>
      <c r="V59" s="83"/>
      <c r="W59" s="84"/>
      <c r="X59" s="85"/>
      <c r="Y59" s="15"/>
      <c r="Z59" s="13"/>
      <c r="AA59" s="13"/>
    </row>
    <row r="60" spans="2:27" ht="24.95" customHeight="1" x14ac:dyDescent="0.3">
      <c r="B60" s="80"/>
      <c r="C60" s="81"/>
      <c r="D60" s="81"/>
      <c r="E60" s="82"/>
      <c r="F60" s="80"/>
      <c r="G60" s="81"/>
      <c r="H60" s="82"/>
      <c r="I60" s="106"/>
      <c r="J60" s="84"/>
      <c r="K60" s="85"/>
      <c r="L60" s="28"/>
      <c r="M60" s="27"/>
      <c r="N60" s="9"/>
      <c r="O60" s="80"/>
      <c r="P60" s="81"/>
      <c r="Q60" s="81"/>
      <c r="R60" s="82"/>
      <c r="S60" s="80"/>
      <c r="T60" s="81"/>
      <c r="U60" s="82"/>
      <c r="V60" s="83"/>
      <c r="W60" s="84"/>
      <c r="X60" s="85"/>
      <c r="Y60" s="15"/>
      <c r="Z60" s="13"/>
      <c r="AA60" s="13"/>
    </row>
    <row r="61" spans="2:27" ht="24.95" customHeight="1" x14ac:dyDescent="0.3">
      <c r="B61" s="80"/>
      <c r="C61" s="81"/>
      <c r="D61" s="81"/>
      <c r="E61" s="82"/>
      <c r="F61" s="80"/>
      <c r="G61" s="81"/>
      <c r="H61" s="82"/>
      <c r="I61" s="106"/>
      <c r="J61" s="84"/>
      <c r="K61" s="85"/>
      <c r="L61" s="28"/>
      <c r="M61" s="27"/>
      <c r="N61" s="9"/>
      <c r="O61" s="80"/>
      <c r="P61" s="81"/>
      <c r="Q61" s="81"/>
      <c r="R61" s="82"/>
      <c r="S61" s="80"/>
      <c r="T61" s="81"/>
      <c r="U61" s="82"/>
      <c r="V61" s="83"/>
      <c r="W61" s="84"/>
      <c r="X61" s="85"/>
      <c r="Y61" s="14"/>
      <c r="Z61" s="13"/>
      <c r="AA61" s="13"/>
    </row>
    <row r="62" spans="2:27" ht="24.95" customHeight="1" x14ac:dyDescent="0.3">
      <c r="B62" s="80"/>
      <c r="C62" s="81"/>
      <c r="D62" s="81"/>
      <c r="E62" s="82"/>
      <c r="F62" s="80"/>
      <c r="G62" s="81"/>
      <c r="H62" s="82"/>
      <c r="I62" s="83"/>
      <c r="J62" s="84"/>
      <c r="K62" s="85"/>
      <c r="L62" s="13"/>
      <c r="M62" s="10"/>
      <c r="N62" s="9"/>
      <c r="O62" s="58" t="s">
        <v>22</v>
      </c>
      <c r="P62" s="59"/>
      <c r="Q62" s="59"/>
      <c r="R62" s="59"/>
      <c r="S62" s="59"/>
      <c r="T62" s="59"/>
      <c r="U62" s="59"/>
      <c r="V62" s="60"/>
      <c r="W62" s="32" t="s">
        <v>23</v>
      </c>
      <c r="X62" s="32"/>
      <c r="Y62" s="32"/>
      <c r="Z62" s="32" t="s">
        <v>24</v>
      </c>
      <c r="AA62" s="32"/>
    </row>
    <row r="63" spans="2:27" ht="24.95" customHeight="1" x14ac:dyDescent="0.3">
      <c r="B63" s="80"/>
      <c r="C63" s="81"/>
      <c r="D63" s="81"/>
      <c r="E63" s="82"/>
      <c r="F63" s="80"/>
      <c r="G63" s="81"/>
      <c r="H63" s="82"/>
      <c r="I63" s="83"/>
      <c r="J63" s="84"/>
      <c r="K63" s="85"/>
      <c r="L63" s="13"/>
      <c r="M63" s="15"/>
      <c r="N63" s="9"/>
      <c r="O63" s="61"/>
      <c r="P63" s="62"/>
      <c r="Q63" s="62"/>
      <c r="R63" s="62"/>
      <c r="S63" s="62"/>
      <c r="T63" s="62"/>
      <c r="U63" s="62"/>
      <c r="V63" s="63"/>
      <c r="W63" s="64">
        <v>5</v>
      </c>
      <c r="X63" s="64"/>
      <c r="Y63" s="64"/>
      <c r="Z63" s="64" t="s">
        <v>108</v>
      </c>
      <c r="AA63" s="64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E14:N24"/>
  <sheetViews>
    <sheetView workbookViewId="0">
      <selection activeCell="I11" sqref="I11"/>
    </sheetView>
  </sheetViews>
  <sheetFormatPr defaultRowHeight="16.5" x14ac:dyDescent="0.3"/>
  <cols>
    <col min="6" max="6" width="13.5" customWidth="1"/>
    <col min="7" max="7" width="10.375" customWidth="1"/>
    <col min="8" max="8" width="13.375" customWidth="1"/>
    <col min="9" max="9" width="13.5" customWidth="1"/>
    <col min="10" max="10" width="8.25" customWidth="1"/>
    <col min="11" max="11" width="7.625" customWidth="1"/>
    <col min="12" max="12" width="12.75" customWidth="1"/>
    <col min="13" max="13" width="15.25" customWidth="1"/>
    <col min="14" max="14" width="16.5" customWidth="1"/>
  </cols>
  <sheetData>
    <row r="14" spans="5:14" ht="31.5" customHeight="1" x14ac:dyDescent="0.3">
      <c r="E14" s="23" t="s">
        <v>96</v>
      </c>
      <c r="F14" s="23" t="s">
        <v>8</v>
      </c>
      <c r="G14" s="24" t="s">
        <v>95</v>
      </c>
      <c r="H14" s="24" t="s">
        <v>83</v>
      </c>
      <c r="I14" s="24" t="s">
        <v>84</v>
      </c>
      <c r="J14" s="24" t="s">
        <v>88</v>
      </c>
      <c r="K14" s="24" t="s">
        <v>89</v>
      </c>
      <c r="L14" s="24" t="s">
        <v>90</v>
      </c>
      <c r="M14" s="24" t="s">
        <v>91</v>
      </c>
    </row>
    <row r="15" spans="5:14" ht="31.5" customHeight="1" x14ac:dyDescent="0.3">
      <c r="E15" s="121" t="s">
        <v>97</v>
      </c>
      <c r="F15" s="23" t="s">
        <v>82</v>
      </c>
      <c r="G15" s="23" t="s">
        <v>92</v>
      </c>
      <c r="H15" s="26" t="s">
        <v>85</v>
      </c>
      <c r="I15" s="26" t="s">
        <v>86</v>
      </c>
      <c r="J15" s="23">
        <v>40</v>
      </c>
      <c r="K15" s="23">
        <v>28</v>
      </c>
      <c r="L15" s="23" t="s">
        <v>87</v>
      </c>
      <c r="M15" s="23">
        <v>30.2</v>
      </c>
      <c r="N15" s="22"/>
    </row>
    <row r="16" spans="5:14" ht="31.5" customHeight="1" x14ac:dyDescent="0.3">
      <c r="E16" s="121"/>
      <c r="F16" s="25">
        <v>0.4375</v>
      </c>
      <c r="G16" s="25" t="s">
        <v>93</v>
      </c>
      <c r="H16" s="24">
        <v>-77</v>
      </c>
      <c r="I16" s="23">
        <v>-90</v>
      </c>
      <c r="J16" s="23">
        <v>29</v>
      </c>
      <c r="K16" s="23">
        <v>26</v>
      </c>
      <c r="L16" s="23" t="s">
        <v>94</v>
      </c>
      <c r="M16" s="23">
        <v>27.6</v>
      </c>
      <c r="N16" s="22"/>
    </row>
    <row r="17" spans="5:14" ht="31.5" customHeight="1" x14ac:dyDescent="0.3">
      <c r="E17" s="121" t="s">
        <v>102</v>
      </c>
      <c r="F17" s="23" t="s">
        <v>98</v>
      </c>
      <c r="G17" s="23" t="s">
        <v>92</v>
      </c>
      <c r="H17" s="26" t="s">
        <v>100</v>
      </c>
      <c r="I17" s="23">
        <v>-90</v>
      </c>
      <c r="J17" s="23">
        <v>26</v>
      </c>
      <c r="K17" s="23">
        <v>24</v>
      </c>
      <c r="L17" s="23" t="s">
        <v>99</v>
      </c>
      <c r="M17" s="23">
        <v>26</v>
      </c>
      <c r="N17" s="22"/>
    </row>
    <row r="18" spans="5:14" ht="31.5" customHeight="1" x14ac:dyDescent="0.3">
      <c r="E18" s="121"/>
      <c r="F18" s="25">
        <v>0.47569444444444442</v>
      </c>
      <c r="G18" s="25" t="s">
        <v>93</v>
      </c>
      <c r="H18" s="26">
        <v>-74</v>
      </c>
      <c r="I18" s="23">
        <v>-90</v>
      </c>
      <c r="J18" s="23">
        <v>26</v>
      </c>
      <c r="K18" s="23">
        <v>25</v>
      </c>
      <c r="L18" s="23" t="s">
        <v>101</v>
      </c>
      <c r="M18" s="23">
        <v>26</v>
      </c>
    </row>
    <row r="19" spans="5:14" x14ac:dyDescent="0.3">
      <c r="F19" s="22"/>
      <c r="G19" s="22"/>
      <c r="H19" s="22"/>
      <c r="I19" s="22"/>
      <c r="J19" s="22"/>
      <c r="K19" s="22"/>
    </row>
    <row r="20" spans="5:14" x14ac:dyDescent="0.3">
      <c r="F20" s="22"/>
      <c r="G20" s="22"/>
      <c r="H20" s="22"/>
      <c r="I20" s="22"/>
      <c r="J20" s="22"/>
      <c r="K20" s="22"/>
    </row>
    <row r="21" spans="5:14" x14ac:dyDescent="0.3">
      <c r="F21" s="22"/>
      <c r="G21" s="22"/>
      <c r="H21" s="22"/>
      <c r="I21" s="22"/>
      <c r="J21" s="22"/>
      <c r="K21" s="22"/>
    </row>
    <row r="22" spans="5:14" x14ac:dyDescent="0.3">
      <c r="F22" s="22"/>
      <c r="G22" s="22"/>
      <c r="H22" s="22"/>
      <c r="I22" s="22"/>
      <c r="J22" s="22"/>
      <c r="K22" s="22"/>
      <c r="L22" s="22"/>
    </row>
    <row r="23" spans="5:14" x14ac:dyDescent="0.3">
      <c r="F23" s="22"/>
      <c r="G23" s="22"/>
      <c r="H23" s="22"/>
      <c r="I23" s="22"/>
      <c r="J23" s="22"/>
      <c r="K23" s="22"/>
      <c r="L23" s="22"/>
    </row>
    <row r="24" spans="5:14" x14ac:dyDescent="0.3">
      <c r="F24" s="22"/>
      <c r="G24" s="22"/>
      <c r="H24" s="22"/>
      <c r="I24" s="22"/>
      <c r="J24" s="22"/>
      <c r="K24" s="22"/>
      <c r="L24" s="22"/>
    </row>
  </sheetData>
  <mergeCells count="2">
    <mergeCell ref="E15:E16"/>
    <mergeCell ref="E17:E18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PM REPORT (새양식)</vt:lpstr>
      <vt:lpstr>Sheet1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2023-07-28T09:06:16Z</cp:lastPrinted>
  <dcterms:created xsi:type="dcterms:W3CDTF">2014-12-23T07:36:01Z</dcterms:created>
  <dcterms:modified xsi:type="dcterms:W3CDTF">2026-01-21T08:58:55Z</dcterms:modified>
</cp:coreProperties>
</file>