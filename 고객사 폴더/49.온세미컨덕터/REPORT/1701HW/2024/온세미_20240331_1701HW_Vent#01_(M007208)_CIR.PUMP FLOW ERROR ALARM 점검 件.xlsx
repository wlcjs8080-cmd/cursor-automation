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V12" i="25" l="1"/>
</calcChain>
</file>

<file path=xl/sharedStrings.xml><?xml version="1.0" encoding="utf-8"?>
<sst xmlns="http://schemas.openxmlformats.org/spreadsheetml/2006/main" count="199" uniqueCount="101">
  <si>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</si>
  <si>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</si>
  <si>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</si>
  <si>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</si>
  <si>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</si>
  <si>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</si>
  <si>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</si>
  <si>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</si>
  <si>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</si>
  <si>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</si>
  <si>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</si>
  <si>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</si>
  <si>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</si>
  <si>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</si>
  <si>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</si>
  <si>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</si>
  <si>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</si>
  <si>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</si>
  <si>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</si>
  <si>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</si>
  <si>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</si>
  <si>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</si>
  <si>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</si>
  <si>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</si>
  <si>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</si>
  <si>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</si>
  <si>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</si>
  <si>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</si>
  <si>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</si>
  <si>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</si>
  <si>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</si>
  <si>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</si>
  <si>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</si>
  <si>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</si>
  <si>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</si>
  <si>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</si>
  <si>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</si>
  <si>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</si>
  <si>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</si>
  <si>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</si>
  <si>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</si>
  <si>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</si>
  <si>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</si>
  <si>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</si>
  <si>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</si>
  <si>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</si>
  <si>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</si>
  <si>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</si>
  <si>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</si>
  <si>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</si>
  <si>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</si>
  <si>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</si>
  <si>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</si>
  <si>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</si>
  <si>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</si>
  <si>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</si>
  <si>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</si>
  <si>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</si>
  <si>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</si>
  <si>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</si>
  <si>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</si>
  <si>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</si>
  <si>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</si>
  <si>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</si>
  <si>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</si>
  <si>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</si>
  <si>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</si>
  <si>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</si>
  <si>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</si>
  <si>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</si>
  <si>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</si>
  <si>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</si>
  <si>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</si>
  <si>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</si>
  <si>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</si>
  <si>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</si>
  <si>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</si>
  <si>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</si>
  <si>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</si>
  <si>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</si>
  <si>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</si>
  <si>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</si>
  <si>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</si>
  <si>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</si>
  <si>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</si>
  <si>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</si>
  <si>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</si>
  <si>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</si>
  <si>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조재현</t>
    <phoneticPr fontId="1" type="noConversion"/>
  </si>
  <si>
    <t>Cir.Pump Flow Error Alarm 발생 件</t>
    <phoneticPr fontId="1" type="noConversion"/>
  </si>
  <si>
    <t>MPX-F-441(삼상)-60HZ</t>
    <phoneticPr fontId="1" type="noConversion"/>
  </si>
  <si>
    <t>901-048-112-02</t>
    <phoneticPr fontId="1" type="noConversion"/>
  </si>
  <si>
    <t>이연삼 부장(야간담당자)</t>
    <phoneticPr fontId="1" type="noConversion"/>
  </si>
  <si>
    <t>정동교, 조재현</t>
    <phoneticPr fontId="1" type="noConversion"/>
  </si>
  <si>
    <t>Impeller 교체</t>
    <phoneticPr fontId="1" type="noConversion"/>
  </si>
  <si>
    <t>Pump Impeller 내부 Scale 고착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</si>
  <si>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Cir.Pump Flow Error Alarm 점검 件 &gt;
</t>
    </r>
    <r>
      <rPr>
        <sz val="16"/>
        <color theme="1"/>
        <rFont val="맑은 고딕"/>
        <family val="3"/>
        <charset val="129"/>
        <scheme val="minor"/>
      </rPr>
      <t xml:space="preserve"> - Cir.Pump Flow Error Alarm 발생하여 긴급대응 진행
 - 현재 Vent#1 , 2호기 두 설비 다 Alarm 발생 상태여서 Vent중인 1호기에서 포스핀 GAS 
   처리하지못하고 대기 방출 상태
 - Cir pump impeller 탈착하여 내부확인결과 Scale 고착으로 인해 돌아가지 않음
 - A급 Cir pump impeller 교체 진행( 세정 Impeller X )
 - 교체 후 Cir.Pressure : 113 
 - Impeller 교체 후 승온진행
   → 승온간 이상 無
 - Gas Leak Test 진행은 야간이라 진행 하지 못하였으며, 추 후 Vent#2 호기로 옮기며 동시 Test 진행 
  예정</t>
    </r>
    <phoneticPr fontId="1" type="noConversion"/>
  </si>
  <si>
    <t>무상</t>
    <phoneticPr fontId="1" type="noConversion"/>
  </si>
  <si>
    <t>무상</t>
    <phoneticPr fontId="1" type="noConversion"/>
  </si>
  <si>
    <t>M007208</t>
    <phoneticPr fontId="1" type="noConversion"/>
  </si>
  <si>
    <t>Pump 임펠러 ASSY-FLANGE 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</si>
</sst>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1048576"/>
  <sheetViews>
    <sheetView showGridLines="0" tabSelected="1" zoomScale="70" zoomScaleNormal="70" zoomScaleSheetLayoutView="100" workbookViewId="0">
      <selection activeCell="AF26" sqref="AF26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88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45382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0.72916666666666663</v>
      </c>
      <c r="W9" s="97"/>
      <c r="X9" s="21" t="s">
        <v>82</v>
      </c>
      <c r="Y9" s="98">
        <v>8.3333333333333329E-2</v>
      </c>
      <c r="Z9" s="99"/>
      <c r="AA9" s="20">
        <v>0.35416666666666669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6" t="s">
        <v>86</v>
      </c>
      <c r="O10" s="107"/>
      <c r="P10" s="107"/>
      <c r="Q10" s="107"/>
      <c r="R10" s="108"/>
      <c r="S10" s="49" t="s">
        <v>29</v>
      </c>
      <c r="T10" s="49"/>
      <c r="U10" s="49"/>
      <c r="V10" s="75">
        <v>45233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92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6" t="s">
        <v>99</v>
      </c>
      <c r="O11" s="107"/>
      <c r="P11" s="107"/>
      <c r="Q11" s="107"/>
      <c r="R11" s="108"/>
      <c r="S11" s="49" t="s">
        <v>30</v>
      </c>
      <c r="T11" s="49"/>
      <c r="U11" s="49"/>
      <c r="V11" s="75">
        <v>45329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93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6" t="s">
        <v>87</v>
      </c>
      <c r="O12" s="107"/>
      <c r="P12" s="107"/>
      <c r="Q12" s="107"/>
      <c r="R12" s="108"/>
      <c r="S12" s="49" t="s">
        <v>31</v>
      </c>
      <c r="T12" s="49"/>
      <c r="U12" s="49"/>
      <c r="V12" s="80">
        <f>V8-V11</f>
        <v>53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9" t="s">
        <v>94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1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2" t="s">
        <v>42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4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9" t="s">
        <v>89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2" t="s">
        <v>43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4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100" t="s">
        <v>95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96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/>
      <c r="E44" s="17">
        <v>-78</v>
      </c>
      <c r="F44" s="17"/>
      <c r="G44" s="17">
        <v>-70</v>
      </c>
      <c r="H44" s="17"/>
      <c r="I44" s="17"/>
      <c r="J44" s="17"/>
      <c r="K44" s="17"/>
      <c r="L44" s="17"/>
      <c r="M44" s="17"/>
      <c r="N44" s="17"/>
      <c r="O44" s="17">
        <v>-31</v>
      </c>
      <c r="P44" s="17"/>
      <c r="Q44" s="17">
        <v>113</v>
      </c>
      <c r="R44" s="17"/>
      <c r="S44" s="17"/>
      <c r="T44" s="17"/>
      <c r="U44" s="17">
        <v>29</v>
      </c>
      <c r="V44" s="17"/>
      <c r="W44" s="17">
        <v>28</v>
      </c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>
        <v>41</v>
      </c>
      <c r="V47" s="17"/>
      <c r="W47" s="17">
        <v>35</v>
      </c>
      <c r="X47" s="17"/>
      <c r="Y47" s="17">
        <v>29</v>
      </c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>
        <v>400</v>
      </c>
      <c r="J50" s="17"/>
      <c r="K50" s="17">
        <v>400</v>
      </c>
      <c r="L50" s="17"/>
      <c r="M50" s="17"/>
      <c r="N50" s="17"/>
      <c r="O50" s="17"/>
      <c r="P50" s="17"/>
      <c r="Q50" s="17">
        <v>200</v>
      </c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>
        <v>30</v>
      </c>
      <c r="F53" s="17"/>
      <c r="G53" s="17">
        <v>30</v>
      </c>
      <c r="H53" s="17"/>
      <c r="I53" s="17">
        <v>30</v>
      </c>
      <c r="J53" s="17"/>
      <c r="K53" s="17">
        <v>30</v>
      </c>
      <c r="L53" s="17"/>
      <c r="M53" s="17">
        <v>19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 t="s">
        <v>100</v>
      </c>
      <c r="C57" s="41"/>
      <c r="D57" s="41"/>
      <c r="E57" s="42"/>
      <c r="F57" s="50" t="s">
        <v>90</v>
      </c>
      <c r="G57" s="51"/>
      <c r="H57" s="52"/>
      <c r="I57" s="46" t="s">
        <v>91</v>
      </c>
      <c r="J57" s="47"/>
      <c r="K57" s="48"/>
      <c r="L57" s="16">
        <v>1</v>
      </c>
      <c r="M57" s="10" t="s">
        <v>97</v>
      </c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2</v>
      </c>
      <c r="X63" s="55"/>
      <c r="Y63" s="55"/>
      <c r="Z63" s="55" t="s">
        <v>98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1048576" spans="13:13" ht="20.25" x14ac:dyDescent="0.3">
      <c r="M1048576" s="10"/>
    </row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2023-08-08T10:10:45Z</cp:lastPrinted>
  <dcterms:created xsi:type="dcterms:W3CDTF">2014-12-23T07:36:01Z</dcterms:created>
  <dcterms:modified xsi:type="dcterms:W3CDTF">2024-04-02T08:47:03Z</dcterms:modified>
</cp:coreProperties>
</file>