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EB43BA9-A24E-42A0-97ED-C2ADCBD1C69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<sst xmlns="http://schemas.openxmlformats.org/spreadsheetml/2006/main" count="185" uniqueCount="97">
  <si>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</si>
  <si>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</si>
  <si>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</si>
  <si>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</si>
  <si>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</si>
  <si>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</si>
  <si>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</si>
  <si>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</si>
  <si>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</si>
  <si>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</si>
  <si>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</si>
  <si>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</si>
  <si>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</si>
  <si>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</si>
  <si>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</si>
  <si>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</si>
  <si>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</si>
  <si>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</si>
  <si>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</si>
  <si>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</si>
  <si>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</si>
  <si>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</si>
  <si>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</si>
  <si>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</si>
  <si>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</si>
  <si>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</si>
  <si>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</si>
  <si>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</si>
  <si>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</si>
  <si>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</si>
  <si>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</si>
  <si>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</si>
  <si>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</si>
  <si>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</si>
  <si>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</si>
  <si>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</si>
  <si>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</si>
  <si>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</si>
  <si>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</si>
  <si>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</si>
  <si>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</si>
  <si>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</si>
  <si>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</si>
  <si>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</si>
  <si>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</si>
  <si>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</si>
  <si>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</si>
  <si>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</si>
  <si>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</si>
  <si>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</si>
  <si>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</si>
  <si>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</si>
  <si>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</si>
  <si>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</si>
  <si>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</si>
  <si>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</si>
  <si>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</si>
  <si>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</si>
  <si>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</si>
  <si>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</si>
  <si>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</si>
  <si>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</si>
  <si>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</si>
  <si>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</si>
  <si>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</si>
  <si>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</si>
  <si>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</si>
  <si>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</si>
  <si>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</si>
  <si>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</si>
  <si>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</si>
  <si>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</si>
  <si>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</si>
  <si>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</si>
  <si>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</si>
  <si>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</si>
  <si>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</si>
  <si>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</si>
  <si>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</si>
  <si>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</si>
  <si>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</si>
  <si>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</si>
  <si>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</si>
  <si>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</si>
  <si>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</si>
  <si>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</si>
  <si>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</si>
  <si>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</si>
  <si>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</si>
  <si>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</si>
  <si>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양윤철, 조재현, 강석희, 오준해</t>
    <phoneticPr fontId="1" type="noConversion"/>
  </si>
  <si>
    <t>양윤철</t>
    <phoneticPr fontId="1" type="noConversion"/>
  </si>
  <si>
    <t>Prewet 막힘관련 압력 해소 작업
Prewet Out Bellows 금속보수제 임시조치 작업</t>
    <phoneticPr fontId="1" type="noConversion"/>
  </si>
  <si>
    <t>Prewet 막힘 : Inlet Pressure 상승
Prewet Out Bellows 금속보수제 조치 : Prewet Out Bellows 부식</t>
    <phoneticPr fontId="1" type="noConversion"/>
  </si>
  <si>
    <t>Prewet 막힘 : Prewet In/Out Bellows 내부 막힘
Prewet Out Bellows 금속보수제 조치 : Bellows 내부 PFA Coating 손상 및 부식</t>
    <phoneticPr fontId="1" type="noConversion"/>
  </si>
  <si>
    <t>M006862</t>
    <phoneticPr fontId="1" type="noConversion"/>
  </si>
  <si>
    <r>
      <t xml:space="preserve">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   - Prewet 내부막힘으로 인한 Inlet Pressure 상승 
   - 배기압, Prewet Supply Water, Prewet Purge N2, Inlet Purge N2 유입유량 조절하여 내부막힘 해소 진행
   - Prewet 고무망치 타공 진행하여 내부막힘 해소 진행
   - 타공 및 유입유량 조정 완료 후 Prewet 내부막힘 임시 해소 완료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Bellows 부식 발생 件 &gt;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  - 4/3 NF#3_1 Bellows 부식 및 Coating 손상 최초발견하여 CS 안전재고 건으로 교체 진행 예정이었으나,
      추가로 5대 발생 확인 됨
   - Prewet 내부막힘 점검 진행間 Prewet Out Bellows 부식 발생 확인 (Prewet 적용설비 8대 中 6대 부식 발생)
   - Bellows 최상부 주름 부식 3건, 최하부 주름 부식 3건
   - 부식 발생한 6대 中 3대는 부식정도 上 (NF#3_2, NF#4_1, NF#5_1)
   - 부식 발생한 6대 금속보수제 임시조치 진행
   - Prewet Out Bellows CS안전재고 2EA 수급 가능하여, 4/26 (수) 방문間 부식 上 설비중 가장 심각한 2대 
      선정 및 Main Tool Idle시 선 교체 예정 (온세미 김일남부장님 내용 공유 완료)
   - Prewet Bellows 8EA 긴급건으로 제작 요청 완료 (수급시 나머지 부식설비 부식정도 순으로 교체 필요)
   - 담당자 부재로 인하여 사진 촬영 누락되었음 (4/26 교체작업 間 사진촬영 예정)
   - NF#4_1 Prewet PFA Coating Bellows 사용일 : 24日
   - 현재 온세미컨덕터 주2회 고정 방문 중으로 매주 방문시 Bellows 부식상태 전수점검 진행 및 교체 전까지
      추가 임시조치 및 설비 비가동 필요시 담당자 공유 예정
   - Prewet Out 배관은 용접부 부식점검 진행 결과 부식 없음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</si>
</sst>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</xdr:col>
      <xdr:colOff>415582</xdr:colOff>
      <xdr:row>33</xdr:row>
      <xdr:rowOff>231321</xdr:rowOff>
    </xdr:from>
    <xdr:to>
      <xdr:col>11</xdr:col>
      <xdr:colOff>425825</xdr:colOff>
      <xdr:row>38</xdr:row>
      <xdr:rowOff>490818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CA37B28F-6671-46D4-875A-4B1C4C4A4845}"/>
            </a:ext>
          </a:extLst>
        </xdr:cNvPr>
        <xdr:cNvGrpSpPr/>
      </xdr:nvGrpSpPr>
      <xdr:grpSpPr>
        <a:xfrm>
          <a:off x="1245618" y="12001500"/>
          <a:ext cx="5276207" cy="2776818"/>
          <a:chOff x="10673444" y="9497787"/>
          <a:chExt cx="8152608" cy="4075338"/>
        </a:xfrm>
      </xdr:grpSpPr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40A102FE-989F-76B5-D564-007666E08252}"/>
              </a:ext>
            </a:extLst>
          </xdr:cNvPr>
          <xdr:cNvGrpSpPr/>
        </xdr:nvGrpSpPr>
        <xdr:grpSpPr>
          <a:xfrm rot="10800000">
            <a:off x="10673444" y="9497787"/>
            <a:ext cx="2833006" cy="4075338"/>
            <a:chOff x="10673444" y="9497787"/>
            <a:chExt cx="2833006" cy="4075338"/>
          </a:xfrm>
        </xdr:grpSpPr>
        <xdr:pic>
          <xdr:nvPicPr>
            <xdr:cNvPr id="39" name="그림 38">
              <a:extLst>
                <a:ext uri="{FF2B5EF4-FFF2-40B4-BE49-F238E27FC236}">
                  <a16:creationId xmlns:a16="http://schemas.microsoft.com/office/drawing/2014/main" id="{37CA571E-1694-7D1E-F506-465B6F1205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673444" y="9497787"/>
              <a:ext cx="2833006" cy="4075338"/>
            </a:xfrm>
            <a:prstGeom prst="rect">
              <a:avLst/>
            </a:prstGeom>
          </xdr:spPr>
        </xdr:pic>
        <xdr:sp macro="" textlink="">
          <xdr:nvSpPr>
            <xdr:cNvPr id="119" name="원호 118">
              <a:extLst>
                <a:ext uri="{FF2B5EF4-FFF2-40B4-BE49-F238E27FC236}">
                  <a16:creationId xmlns:a16="http://schemas.microsoft.com/office/drawing/2014/main" id="{205E69B5-3233-F638-CE2C-749D6CA988A4}"/>
                </a:ext>
              </a:extLst>
            </xdr:cNvPr>
            <xdr:cNvSpPr/>
          </xdr:nvSpPr>
          <xdr:spPr>
            <a:xfrm rot="10349035">
              <a:off x="11331856" y="9842857"/>
              <a:ext cx="1808760" cy="1320995"/>
            </a:xfrm>
            <a:prstGeom prst="arc">
              <a:avLst>
                <a:gd name="adj1" fmla="val 13399350"/>
                <a:gd name="adj2" fmla="val 19020804"/>
              </a:avLst>
            </a:prstGeom>
            <a:noFill/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0" name="원호 119">
              <a:extLst>
                <a:ext uri="{FF2B5EF4-FFF2-40B4-BE49-F238E27FC236}">
                  <a16:creationId xmlns:a16="http://schemas.microsoft.com/office/drawing/2014/main" id="{46C67020-F5A7-C310-27E8-2916A103BFC9}"/>
                </a:ext>
              </a:extLst>
            </xdr:cNvPr>
            <xdr:cNvSpPr/>
          </xdr:nvSpPr>
          <xdr:spPr>
            <a:xfrm rot="10228429">
              <a:off x="11350905" y="10928705"/>
              <a:ext cx="1808760" cy="1320995"/>
            </a:xfrm>
            <a:prstGeom prst="arc">
              <a:avLst>
                <a:gd name="adj1" fmla="val 13399350"/>
                <a:gd name="adj2" fmla="val 19020804"/>
              </a:avLst>
            </a:prstGeom>
            <a:noFill/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cxnSp macro="">
        <xdr:nvCxnSpPr>
          <xdr:cNvPr id="21" name="직선 화살표 연결선 20">
            <a:extLst>
              <a:ext uri="{FF2B5EF4-FFF2-40B4-BE49-F238E27FC236}">
                <a16:creationId xmlns:a16="http://schemas.microsoft.com/office/drawing/2014/main" id="{BB385AE3-7CFC-8C95-99A4-3AB17E2A1D99}"/>
              </a:ext>
            </a:extLst>
          </xdr:cNvPr>
          <xdr:cNvCxnSpPr>
            <a:cxnSpLocks/>
            <a:stCxn id="37" idx="1"/>
          </xdr:cNvCxnSpPr>
        </xdr:nvCxnSpPr>
        <xdr:spPr>
          <a:xfrm flipH="1" flipV="1">
            <a:off x="12601812" y="10891440"/>
            <a:ext cx="1743587" cy="314094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직선 화살표 연결선 35">
            <a:extLst>
              <a:ext uri="{FF2B5EF4-FFF2-40B4-BE49-F238E27FC236}">
                <a16:creationId xmlns:a16="http://schemas.microsoft.com/office/drawing/2014/main" id="{F2AF1912-2117-C0B2-533C-E85F396FF234}"/>
              </a:ext>
            </a:extLst>
          </xdr:cNvPr>
          <xdr:cNvCxnSpPr>
            <a:cxnSpLocks/>
            <a:stCxn id="37" idx="1"/>
          </xdr:cNvCxnSpPr>
        </xdr:nvCxnSpPr>
        <xdr:spPr>
          <a:xfrm flipH="1">
            <a:off x="12636583" y="11205534"/>
            <a:ext cx="1708816" cy="786159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CFDA0603-76A5-9335-6798-7EF79BC3949F}"/>
              </a:ext>
            </a:extLst>
          </xdr:cNvPr>
          <xdr:cNvSpPr txBox="1"/>
        </xdr:nvSpPr>
        <xdr:spPr>
          <a:xfrm>
            <a:off x="14345399" y="10155313"/>
            <a:ext cx="4480653" cy="210044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 b="1"/>
              <a:t>-Bellows</a:t>
            </a:r>
            <a:r>
              <a:rPr lang="en-US" altLang="ko-KR" sz="1100" b="1" baseline="0"/>
              <a:t> </a:t>
            </a:r>
            <a:r>
              <a:rPr lang="ko-KR" altLang="en-US" sz="1100" b="1" baseline="0"/>
              <a:t>주름 최상부</a:t>
            </a:r>
            <a:r>
              <a:rPr lang="en-US" altLang="ko-KR" sz="1100" b="1" baseline="0"/>
              <a:t>, </a:t>
            </a:r>
            <a:r>
              <a:rPr lang="ko-KR" altLang="en-US" sz="1100" b="1" baseline="0"/>
              <a:t>최하부에서</a:t>
            </a:r>
            <a:r>
              <a:rPr lang="en-US" altLang="ko-KR" sz="1100" b="1" baseline="0"/>
              <a:t> </a:t>
            </a:r>
            <a:r>
              <a:rPr lang="ko-KR" altLang="en-US" sz="1100" b="1"/>
              <a:t>부식이  </a:t>
            </a:r>
            <a:endParaRPr lang="en-US" altLang="ko-KR" sz="1100" b="1"/>
          </a:p>
          <a:p>
            <a:r>
              <a:rPr lang="en-US" altLang="ko-KR" sz="1100" b="1"/>
              <a:t>    </a:t>
            </a:r>
            <a:r>
              <a:rPr lang="ko-KR" altLang="en-US" sz="1100" b="1"/>
              <a:t>발생함</a:t>
            </a:r>
            <a:endParaRPr lang="en-US" altLang="ko-KR" sz="1100" b="1"/>
          </a:p>
          <a:p>
            <a:r>
              <a:rPr lang="en-US" altLang="ko-KR" sz="1100" b="1" baseline="0"/>
              <a:t>-</a:t>
            </a:r>
            <a:r>
              <a:rPr lang="ko-KR" altLang="en-US" sz="1100" b="1" baseline="0"/>
              <a:t>인장력이 크게 작용하는 쪽은 부식 발생 및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벌어짐 발생</a:t>
            </a:r>
            <a:r>
              <a:rPr lang="en-US" altLang="ko-KR" sz="1100" b="1" baseline="0"/>
              <a:t> (</a:t>
            </a:r>
            <a:r>
              <a:rPr lang="ko-KR" altLang="en-US" sz="1100" b="1" baseline="0"/>
              <a:t>인장력이 큰 쪽만 부식이 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발생하는 것은 아님</a:t>
            </a:r>
            <a:r>
              <a:rPr lang="en-US" altLang="ko-KR" sz="1100" b="1" baseline="0"/>
              <a:t>, </a:t>
            </a:r>
            <a:r>
              <a:rPr lang="ko-KR" altLang="en-US" sz="1100" b="1" baseline="0"/>
              <a:t>눌리는 쪽도 부식 </a:t>
            </a:r>
            <a:endParaRPr lang="en-US" altLang="ko-KR" sz="1100" b="1" baseline="0"/>
          </a:p>
          <a:p>
            <a:r>
              <a:rPr lang="en-US" altLang="ko-KR" sz="1100" b="1" baseline="0"/>
              <a:t>     </a:t>
            </a:r>
            <a:r>
              <a:rPr lang="ko-KR" altLang="en-US" sz="1100" b="1" baseline="0"/>
              <a:t>발생 함</a:t>
            </a:r>
            <a:r>
              <a:rPr lang="en-US" altLang="ko-KR" sz="1100" b="1" baseline="0"/>
              <a:t>)</a:t>
            </a:r>
            <a:endParaRPr lang="en-US" altLang="ko-KR" sz="1100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B1" zoomScale="70" zoomScaleNormal="70" zoomScaleSheetLayoutView="100" workbookViewId="0">
      <selection activeCell="R28" sqref="R28:V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9" t="s">
        <v>4</v>
      </c>
      <c r="T2" s="49"/>
      <c r="U2" s="49"/>
      <c r="V2" s="49" t="s">
        <v>5</v>
      </c>
      <c r="W2" s="49"/>
      <c r="X2" s="49"/>
      <c r="Y2" s="49" t="s">
        <v>6</v>
      </c>
      <c r="Z2" s="49"/>
      <c r="AA2" s="4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9"/>
      <c r="T3" s="49"/>
      <c r="U3" s="49"/>
      <c r="V3" s="49"/>
      <c r="W3" s="49"/>
      <c r="X3" s="49"/>
      <c r="Y3" s="49"/>
      <c r="Z3" s="49"/>
      <c r="AA3" s="4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5" t="s">
        <v>91</v>
      </c>
      <c r="T4" s="86"/>
      <c r="U4" s="86"/>
      <c r="V4" s="85"/>
      <c r="W4" s="86"/>
      <c r="X4" s="91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7"/>
      <c r="T5" s="88"/>
      <c r="U5" s="88"/>
      <c r="V5" s="87"/>
      <c r="W5" s="88"/>
      <c r="X5" s="92"/>
      <c r="Y5" s="56"/>
      <c r="Z5" s="56"/>
      <c r="AA5" s="56"/>
    </row>
    <row r="6" spans="2:39" ht="15" customHeight="1" x14ac:dyDescent="0.3">
      <c r="B6" s="94" t="s">
        <v>25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89"/>
      <c r="T6" s="90"/>
      <c r="U6" s="90"/>
      <c r="V6" s="89"/>
      <c r="W6" s="90"/>
      <c r="X6" s="93"/>
      <c r="Y6" s="56"/>
      <c r="Z6" s="56"/>
      <c r="AA6" s="56"/>
    </row>
    <row r="7" spans="2:39" ht="3" customHeight="1" x14ac:dyDescent="0.3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 t="s">
        <v>8</v>
      </c>
      <c r="T8" s="96"/>
      <c r="U8" s="96"/>
      <c r="V8" s="57">
        <v>45040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5" t="s">
        <v>83</v>
      </c>
      <c r="T9" s="96"/>
      <c r="U9" s="96"/>
      <c r="V9" s="26">
        <v>0.58333333333333337</v>
      </c>
      <c r="W9" s="27"/>
      <c r="X9" s="22" t="s">
        <v>82</v>
      </c>
      <c r="Y9" s="28">
        <v>0.72916666666666663</v>
      </c>
      <c r="Z9" s="29"/>
      <c r="AA9" s="21">
        <f>Y9-V9</f>
        <v>0.14583333333333326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9" t="s">
        <v>85</v>
      </c>
      <c r="F10" s="49"/>
      <c r="G10" s="49"/>
      <c r="H10" s="49"/>
      <c r="I10" s="49"/>
      <c r="J10" s="49"/>
      <c r="K10" s="24" t="s">
        <v>27</v>
      </c>
      <c r="L10" s="24"/>
      <c r="M10" s="24"/>
      <c r="N10" s="36" t="s">
        <v>86</v>
      </c>
      <c r="O10" s="37"/>
      <c r="P10" s="37"/>
      <c r="Q10" s="37"/>
      <c r="R10" s="38"/>
      <c r="S10" s="24" t="s">
        <v>29</v>
      </c>
      <c r="T10" s="24"/>
      <c r="U10" s="24"/>
      <c r="V10" s="57">
        <v>44832</v>
      </c>
      <c r="W10" s="57"/>
      <c r="X10" s="57"/>
      <c r="Y10" s="57"/>
      <c r="Z10" s="57"/>
      <c r="AA10" s="57"/>
    </row>
    <row r="11" spans="2:39" ht="24.95" customHeight="1" x14ac:dyDescent="0.3">
      <c r="B11" s="24" t="s">
        <v>10</v>
      </c>
      <c r="C11" s="24"/>
      <c r="D11" s="24"/>
      <c r="E11" s="49" t="s">
        <v>89</v>
      </c>
      <c r="F11" s="49"/>
      <c r="G11" s="49"/>
      <c r="H11" s="49"/>
      <c r="I11" s="49"/>
      <c r="J11" s="49"/>
      <c r="K11" s="24" t="s">
        <v>32</v>
      </c>
      <c r="L11" s="24"/>
      <c r="M11" s="24"/>
      <c r="N11" s="36" t="s">
        <v>95</v>
      </c>
      <c r="O11" s="37"/>
      <c r="P11" s="37"/>
      <c r="Q11" s="37"/>
      <c r="R11" s="38"/>
      <c r="S11" s="24" t="s">
        <v>30</v>
      </c>
      <c r="T11" s="24"/>
      <c r="U11" s="24"/>
      <c r="V11" s="57">
        <v>45033</v>
      </c>
      <c r="W11" s="57"/>
      <c r="X11" s="57"/>
      <c r="Y11" s="57"/>
      <c r="Z11" s="57"/>
      <c r="AA11" s="57"/>
    </row>
    <row r="12" spans="2:39" ht="24.95" customHeight="1" x14ac:dyDescent="0.3">
      <c r="B12" s="24" t="s">
        <v>11</v>
      </c>
      <c r="C12" s="24"/>
      <c r="D12" s="24"/>
      <c r="E12" s="49" t="s">
        <v>90</v>
      </c>
      <c r="F12" s="49"/>
      <c r="G12" s="49"/>
      <c r="H12" s="49"/>
      <c r="I12" s="49"/>
      <c r="J12" s="49"/>
      <c r="K12" s="24" t="s">
        <v>33</v>
      </c>
      <c r="L12" s="24"/>
      <c r="M12" s="24"/>
      <c r="N12" s="36" t="s">
        <v>87</v>
      </c>
      <c r="O12" s="37"/>
      <c r="P12" s="37"/>
      <c r="Q12" s="37"/>
      <c r="R12" s="38"/>
      <c r="S12" s="24" t="s">
        <v>31</v>
      </c>
      <c r="T12" s="24"/>
      <c r="U12" s="24"/>
      <c r="V12" s="58">
        <f>V8-V11</f>
        <v>7</v>
      </c>
      <c r="W12" s="58"/>
      <c r="X12" s="58"/>
      <c r="Y12" s="58"/>
      <c r="Z12" s="58"/>
      <c r="AA12" s="58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5" t="s">
        <v>84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48" t="s">
        <v>12</v>
      </c>
      <c r="S14" s="48"/>
      <c r="T14" s="48"/>
      <c r="U14" s="48"/>
      <c r="V14" s="48"/>
      <c r="W14" s="48"/>
      <c r="X14" s="48"/>
      <c r="Y14" s="48"/>
      <c r="Z14" s="48"/>
      <c r="AA14" s="48"/>
    </row>
    <row r="15" spans="2:39" ht="39.950000000000003" customHeight="1" x14ac:dyDescent="0.3">
      <c r="B15" s="39" t="s">
        <v>92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42" t="s">
        <v>42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9" t="s">
        <v>93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42" t="s">
        <v>43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30" t="s">
        <v>94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2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96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72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72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5" t="s">
        <v>26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7"/>
    </row>
    <row r="42" spans="2:27" ht="36.950000000000003" customHeight="1" x14ac:dyDescent="0.3">
      <c r="B42" s="114" t="s">
        <v>13</v>
      </c>
      <c r="C42" s="52"/>
      <c r="D42" s="99" t="s">
        <v>48</v>
      </c>
      <c r="E42" s="100"/>
      <c r="F42" s="99" t="s">
        <v>49</v>
      </c>
      <c r="G42" s="100"/>
      <c r="H42" s="99" t="s">
        <v>50</v>
      </c>
      <c r="I42" s="100"/>
      <c r="J42" s="99" t="s">
        <v>51</v>
      </c>
      <c r="K42" s="100"/>
      <c r="L42" s="99" t="s">
        <v>52</v>
      </c>
      <c r="M42" s="100"/>
      <c r="N42" s="99" t="s">
        <v>53</v>
      </c>
      <c r="O42" s="103"/>
      <c r="P42" s="99" t="s">
        <v>54</v>
      </c>
      <c r="Q42" s="103"/>
      <c r="R42" s="99" t="s">
        <v>55</v>
      </c>
      <c r="S42" s="103"/>
      <c r="T42" s="99" t="s">
        <v>56</v>
      </c>
      <c r="U42" s="103"/>
      <c r="V42" s="99" t="s">
        <v>57</v>
      </c>
      <c r="W42" s="103"/>
      <c r="X42" s="99" t="s">
        <v>58</v>
      </c>
      <c r="Y42" s="103"/>
      <c r="Z42" s="99" t="s">
        <v>59</v>
      </c>
      <c r="AA42" s="103"/>
    </row>
    <row r="43" spans="2:27" ht="24.95" customHeight="1" x14ac:dyDescent="0.3">
      <c r="B43" s="115"/>
      <c r="C43" s="8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2"/>
      <c r="C44" s="55"/>
      <c r="D44" s="18">
        <v>-90</v>
      </c>
      <c r="E44" s="18">
        <v>-90</v>
      </c>
      <c r="F44" s="18">
        <v>-64</v>
      </c>
      <c r="G44" s="18">
        <v>-106</v>
      </c>
      <c r="H44" s="18"/>
      <c r="I44" s="8"/>
      <c r="J44" s="18"/>
      <c r="K44" s="18"/>
      <c r="L44" s="18"/>
      <c r="M44" s="18"/>
      <c r="N44" s="18"/>
      <c r="O44" s="18">
        <v>-18</v>
      </c>
      <c r="P44" s="18"/>
      <c r="Q44" s="18">
        <v>138</v>
      </c>
      <c r="R44" s="18"/>
      <c r="S44" s="18"/>
      <c r="T44" s="18"/>
      <c r="U44" s="18">
        <v>48</v>
      </c>
      <c r="V44" s="18"/>
      <c r="W44" s="18">
        <v>59</v>
      </c>
      <c r="X44" s="18"/>
      <c r="Y44" s="18"/>
      <c r="Z44" s="18"/>
      <c r="AA44" s="18">
        <v>0.09</v>
      </c>
    </row>
    <row r="45" spans="2:27" ht="36.950000000000003" customHeight="1" x14ac:dyDescent="0.3">
      <c r="B45" s="79" t="s">
        <v>16</v>
      </c>
      <c r="C45" s="52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3"/>
      <c r="N45" s="99" t="s">
        <v>41</v>
      </c>
      <c r="O45" s="103"/>
      <c r="P45" s="99" t="s">
        <v>45</v>
      </c>
      <c r="Q45" s="103"/>
      <c r="R45" s="99" t="s">
        <v>28</v>
      </c>
      <c r="S45" s="103"/>
      <c r="T45" s="99" t="s">
        <v>34</v>
      </c>
      <c r="U45" s="103"/>
      <c r="V45" s="99" t="s">
        <v>46</v>
      </c>
      <c r="W45" s="103"/>
      <c r="X45" s="83" t="s">
        <v>47</v>
      </c>
      <c r="Y45" s="84"/>
      <c r="Z45" s="84"/>
      <c r="AA45" s="84"/>
    </row>
    <row r="46" spans="2:27" ht="24.95" customHeight="1" x14ac:dyDescent="0.3">
      <c r="B46" s="80"/>
      <c r="C46" s="8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2"/>
      <c r="C47" s="55"/>
      <c r="D47" s="18"/>
      <c r="E47" s="18">
        <v>750</v>
      </c>
      <c r="F47" s="18"/>
      <c r="G47" s="18"/>
      <c r="H47" s="18"/>
      <c r="I47" s="18"/>
      <c r="J47" s="18"/>
      <c r="K47" s="18"/>
      <c r="L47" s="18"/>
      <c r="M47" s="18">
        <v>782</v>
      </c>
      <c r="N47" s="18"/>
      <c r="O47" s="18"/>
      <c r="P47" s="18"/>
      <c r="Q47" s="18"/>
      <c r="R47" s="18"/>
      <c r="S47" s="18"/>
      <c r="T47" s="18"/>
      <c r="U47" s="18">
        <v>48</v>
      </c>
      <c r="V47" s="18"/>
      <c r="W47" s="18">
        <v>36</v>
      </c>
      <c r="X47" s="18"/>
      <c r="Y47" s="18">
        <v>30</v>
      </c>
      <c r="Z47" s="18"/>
      <c r="AA47" s="18"/>
    </row>
    <row r="48" spans="2:27" ht="36.75" customHeight="1" x14ac:dyDescent="0.3">
      <c r="B48" s="79" t="s">
        <v>44</v>
      </c>
      <c r="C48" s="52"/>
      <c r="D48" s="83" t="s">
        <v>66</v>
      </c>
      <c r="E48" s="84"/>
      <c r="F48" s="83" t="s">
        <v>67</v>
      </c>
      <c r="G48" s="84"/>
      <c r="H48" s="83" t="s">
        <v>68</v>
      </c>
      <c r="I48" s="84"/>
      <c r="J48" s="83" t="s">
        <v>69</v>
      </c>
      <c r="K48" s="84"/>
      <c r="L48" s="83" t="s">
        <v>69</v>
      </c>
      <c r="M48" s="84"/>
      <c r="N48" s="83" t="s">
        <v>70</v>
      </c>
      <c r="O48" s="84"/>
      <c r="P48" s="99" t="s">
        <v>71</v>
      </c>
      <c r="Q48" s="100"/>
      <c r="R48" s="97" t="s">
        <v>60</v>
      </c>
      <c r="S48" s="98"/>
      <c r="T48" s="106" t="s">
        <v>61</v>
      </c>
      <c r="U48" s="107"/>
      <c r="V48" s="106" t="s">
        <v>62</v>
      </c>
      <c r="W48" s="107"/>
      <c r="X48" s="106" t="s">
        <v>63</v>
      </c>
      <c r="Y48" s="107"/>
      <c r="Z48" s="99" t="s">
        <v>72</v>
      </c>
      <c r="AA48" s="100"/>
    </row>
    <row r="49" spans="2:27" ht="24.95" customHeight="1" x14ac:dyDescent="0.3">
      <c r="B49" s="80"/>
      <c r="C49" s="8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0"/>
      <c r="C50" s="81"/>
      <c r="D50" s="18"/>
      <c r="E50" s="18"/>
      <c r="F50" s="18"/>
      <c r="G50" s="18">
        <v>80</v>
      </c>
      <c r="H50" s="18"/>
      <c r="I50" s="18">
        <v>440</v>
      </c>
      <c r="J50" s="18"/>
      <c r="K50" s="18">
        <v>400</v>
      </c>
      <c r="L50" s="18"/>
      <c r="M50" s="18"/>
      <c r="N50" s="18"/>
      <c r="O50" s="18"/>
      <c r="P50" s="18"/>
      <c r="Q50" s="18">
        <v>280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 ht="36.75" customHeight="1" x14ac:dyDescent="0.3">
      <c r="B51" s="80"/>
      <c r="C51" s="81"/>
      <c r="D51" s="83" t="s">
        <v>73</v>
      </c>
      <c r="E51" s="84"/>
      <c r="F51" s="83" t="s">
        <v>74</v>
      </c>
      <c r="G51" s="84"/>
      <c r="H51" s="83" t="s">
        <v>75</v>
      </c>
      <c r="I51" s="84"/>
      <c r="J51" s="83" t="s">
        <v>76</v>
      </c>
      <c r="K51" s="84"/>
      <c r="L51" s="97" t="s">
        <v>64</v>
      </c>
      <c r="M51" s="98"/>
      <c r="N51" s="83" t="s">
        <v>77</v>
      </c>
      <c r="O51" s="84"/>
      <c r="P51" s="97" t="s">
        <v>65</v>
      </c>
      <c r="Q51" s="98"/>
      <c r="R51" s="83" t="s">
        <v>78</v>
      </c>
      <c r="S51" s="84"/>
      <c r="T51" s="101" t="s">
        <v>81</v>
      </c>
      <c r="U51" s="102"/>
      <c r="V51" s="99" t="s">
        <v>79</v>
      </c>
      <c r="W51" s="103"/>
      <c r="X51" s="99" t="s">
        <v>80</v>
      </c>
      <c r="Y51" s="103"/>
      <c r="Z51" s="104"/>
      <c r="AA51" s="105"/>
    </row>
    <row r="52" spans="2:27" ht="24.95" customHeight="1" x14ac:dyDescent="0.3">
      <c r="B52" s="80"/>
      <c r="C52" s="8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2"/>
      <c r="C53" s="55"/>
      <c r="D53" s="18"/>
      <c r="E53" s="18">
        <v>30</v>
      </c>
      <c r="F53" s="18"/>
      <c r="G53" s="18">
        <v>30</v>
      </c>
      <c r="H53" s="18"/>
      <c r="I53" s="18">
        <v>30</v>
      </c>
      <c r="J53" s="18"/>
      <c r="K53" s="18">
        <v>30</v>
      </c>
      <c r="L53" s="18"/>
      <c r="M53" s="18">
        <v>22</v>
      </c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8" t="s">
        <v>17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3" t="s">
        <v>19</v>
      </c>
      <c r="M56" s="12" t="s">
        <v>20</v>
      </c>
      <c r="N56" s="19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3" t="s">
        <v>3</v>
      </c>
      <c r="Z56" s="9" t="s">
        <v>20</v>
      </c>
      <c r="AA56" s="20" t="s">
        <v>21</v>
      </c>
    </row>
    <row r="57" spans="2:27" ht="24.95" customHeight="1" x14ac:dyDescent="0.3">
      <c r="B57" s="108"/>
      <c r="C57" s="109"/>
      <c r="D57" s="109"/>
      <c r="E57" s="110"/>
      <c r="F57" s="111"/>
      <c r="G57" s="112"/>
      <c r="H57" s="113"/>
      <c r="I57" s="76"/>
      <c r="J57" s="77"/>
      <c r="K57" s="78"/>
      <c r="L57" s="17"/>
      <c r="M57" s="11"/>
      <c r="N57" s="10"/>
      <c r="O57" s="73"/>
      <c r="P57" s="74"/>
      <c r="Q57" s="74"/>
      <c r="R57" s="75"/>
      <c r="S57" s="73"/>
      <c r="T57" s="74"/>
      <c r="U57" s="75"/>
      <c r="V57" s="76"/>
      <c r="W57" s="77"/>
      <c r="X57" s="78"/>
      <c r="Y57" s="16"/>
      <c r="Z57" s="14"/>
      <c r="AA57" s="14"/>
    </row>
    <row r="58" spans="2:27" ht="24.95" customHeight="1" x14ac:dyDescent="0.3">
      <c r="B58" s="73"/>
      <c r="C58" s="74"/>
      <c r="D58" s="74"/>
      <c r="E58" s="75"/>
      <c r="F58" s="73"/>
      <c r="G58" s="74"/>
      <c r="H58" s="75"/>
      <c r="I58" s="76"/>
      <c r="J58" s="77"/>
      <c r="K58" s="78"/>
      <c r="L58" s="14"/>
      <c r="M58" s="11"/>
      <c r="N58" s="10"/>
      <c r="O58" s="73"/>
      <c r="P58" s="74"/>
      <c r="Q58" s="74"/>
      <c r="R58" s="75"/>
      <c r="S58" s="73"/>
      <c r="T58" s="74"/>
      <c r="U58" s="75"/>
      <c r="V58" s="76"/>
      <c r="W58" s="77"/>
      <c r="X58" s="78"/>
      <c r="Y58" s="16"/>
      <c r="Z58" s="14"/>
      <c r="AA58" s="14"/>
    </row>
    <row r="59" spans="2:27" ht="24.95" customHeight="1" x14ac:dyDescent="0.3">
      <c r="B59" s="73"/>
      <c r="C59" s="74"/>
      <c r="D59" s="74"/>
      <c r="E59" s="75"/>
      <c r="F59" s="73"/>
      <c r="G59" s="74"/>
      <c r="H59" s="75"/>
      <c r="I59" s="76"/>
      <c r="J59" s="77"/>
      <c r="K59" s="78"/>
      <c r="L59" s="14"/>
      <c r="M59" s="11"/>
      <c r="N59" s="10"/>
      <c r="O59" s="73"/>
      <c r="P59" s="74"/>
      <c r="Q59" s="74"/>
      <c r="R59" s="75"/>
      <c r="S59" s="73"/>
      <c r="T59" s="74"/>
      <c r="U59" s="75"/>
      <c r="V59" s="76"/>
      <c r="W59" s="77"/>
      <c r="X59" s="78"/>
      <c r="Y59" s="16"/>
      <c r="Z59" s="14"/>
      <c r="AA59" s="14"/>
    </row>
    <row r="60" spans="2:27" ht="24.95" customHeight="1" x14ac:dyDescent="0.3">
      <c r="B60" s="73"/>
      <c r="C60" s="74"/>
      <c r="D60" s="74"/>
      <c r="E60" s="75"/>
      <c r="F60" s="73"/>
      <c r="G60" s="74"/>
      <c r="H60" s="75"/>
      <c r="I60" s="76"/>
      <c r="J60" s="77"/>
      <c r="K60" s="78"/>
      <c r="L60" s="14"/>
      <c r="M60" s="11"/>
      <c r="N60" s="10"/>
      <c r="O60" s="73"/>
      <c r="P60" s="74"/>
      <c r="Q60" s="74"/>
      <c r="R60" s="75"/>
      <c r="S60" s="73"/>
      <c r="T60" s="74"/>
      <c r="U60" s="75"/>
      <c r="V60" s="76"/>
      <c r="W60" s="77"/>
      <c r="X60" s="78"/>
      <c r="Y60" s="16"/>
      <c r="Z60" s="14"/>
      <c r="AA60" s="14"/>
    </row>
    <row r="61" spans="2:27" ht="24.95" customHeight="1" x14ac:dyDescent="0.3">
      <c r="B61" s="73"/>
      <c r="C61" s="74"/>
      <c r="D61" s="74"/>
      <c r="E61" s="75"/>
      <c r="F61" s="73"/>
      <c r="G61" s="74"/>
      <c r="H61" s="75"/>
      <c r="I61" s="76"/>
      <c r="J61" s="77"/>
      <c r="K61" s="78"/>
      <c r="L61" s="14"/>
      <c r="M61" s="11"/>
      <c r="N61" s="10"/>
      <c r="O61" s="73"/>
      <c r="P61" s="74"/>
      <c r="Q61" s="74"/>
      <c r="R61" s="75"/>
      <c r="S61" s="73"/>
      <c r="T61" s="74"/>
      <c r="U61" s="75"/>
      <c r="V61" s="76"/>
      <c r="W61" s="77"/>
      <c r="X61" s="78"/>
      <c r="Y61" s="15"/>
      <c r="Z61" s="14"/>
      <c r="AA61" s="14"/>
    </row>
    <row r="62" spans="2:27" ht="24.95" customHeight="1" x14ac:dyDescent="0.3">
      <c r="B62" s="73"/>
      <c r="C62" s="74"/>
      <c r="D62" s="74"/>
      <c r="E62" s="75"/>
      <c r="F62" s="73"/>
      <c r="G62" s="74"/>
      <c r="H62" s="75"/>
      <c r="I62" s="76"/>
      <c r="J62" s="77"/>
      <c r="K62" s="78"/>
      <c r="L62" s="14"/>
      <c r="M62" s="11"/>
      <c r="N62" s="10"/>
      <c r="O62" s="50" t="s">
        <v>22</v>
      </c>
      <c r="P62" s="51"/>
      <c r="Q62" s="51"/>
      <c r="R62" s="51"/>
      <c r="S62" s="51"/>
      <c r="T62" s="51"/>
      <c r="U62" s="51"/>
      <c r="V62" s="52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3"/>
      <c r="C63" s="74"/>
      <c r="D63" s="74"/>
      <c r="E63" s="75"/>
      <c r="F63" s="73"/>
      <c r="G63" s="74"/>
      <c r="H63" s="75"/>
      <c r="I63" s="76"/>
      <c r="J63" s="77"/>
      <c r="K63" s="78"/>
      <c r="L63" s="14"/>
      <c r="M63" s="16"/>
      <c r="N63" s="10"/>
      <c r="O63" s="53"/>
      <c r="P63" s="54"/>
      <c r="Q63" s="54"/>
      <c r="R63" s="54"/>
      <c r="S63" s="54"/>
      <c r="T63" s="54"/>
      <c r="U63" s="54"/>
      <c r="V63" s="55"/>
      <c r="W63" s="56">
        <v>4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2023-04-24T12:04:24Z</dcterms:modified>
</cp:coreProperties>
</file>